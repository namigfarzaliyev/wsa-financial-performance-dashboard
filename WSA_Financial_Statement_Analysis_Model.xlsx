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WSA Financial Reports\"/>
    </mc:Choice>
  </mc:AlternateContent>
  <xr:revisionPtr revIDLastSave="0" documentId="13_ncr:1_{1C4167E4-4A3F-4CA2-8B76-91166F7E9D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hodology" sheetId="8" r:id="rId1"/>
    <sheet name="Raw_Key_Figures" sheetId="1" r:id="rId2"/>
    <sheet name="Ratio_Calculations" sheetId="2" r:id="rId3"/>
    <sheet name="Chart_Data" sheetId="4" r:id="rId4"/>
    <sheet name="Dashboard_Mocku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C18" i="2"/>
  <c r="D18" i="2"/>
  <c r="E18" i="2"/>
  <c r="F18" i="2"/>
  <c r="B18" i="2"/>
  <c r="C17" i="2"/>
  <c r="D17" i="2"/>
  <c r="E17" i="2"/>
  <c r="F17" i="2"/>
  <c r="B17" i="2"/>
  <c r="C16" i="2"/>
  <c r="D16" i="2"/>
  <c r="E16" i="2"/>
  <c r="F16" i="2"/>
  <c r="B16" i="2"/>
  <c r="C15" i="2"/>
  <c r="D15" i="2"/>
  <c r="E15" i="2"/>
  <c r="F15" i="2"/>
  <c r="B15" i="2"/>
  <c r="C14" i="2"/>
  <c r="D14" i="2"/>
  <c r="E14" i="2"/>
  <c r="F14" i="2"/>
  <c r="C13" i="2"/>
  <c r="D13" i="2"/>
  <c r="E13" i="2"/>
  <c r="F13" i="2"/>
  <c r="B13" i="2"/>
  <c r="C12" i="2"/>
  <c r="D12" i="2"/>
  <c r="E12" i="2"/>
  <c r="F12" i="2"/>
  <c r="B12" i="2"/>
  <c r="C11" i="2"/>
  <c r="D11" i="2"/>
  <c r="E11" i="2"/>
  <c r="F11" i="2"/>
  <c r="B11" i="2"/>
  <c r="C10" i="2"/>
  <c r="D10" i="2"/>
  <c r="E10" i="2"/>
  <c r="F10" i="2"/>
  <c r="B10" i="2"/>
  <c r="C9" i="2"/>
  <c r="D9" i="2"/>
  <c r="E9" i="2"/>
  <c r="F9" i="2"/>
  <c r="B9" i="2"/>
  <c r="C8" i="2"/>
  <c r="D8" i="2"/>
  <c r="B8" i="2"/>
  <c r="E7" i="2"/>
  <c r="F7" i="2"/>
  <c r="D7" i="2"/>
  <c r="C6" i="2"/>
  <c r="D6" i="2"/>
  <c r="E6" i="2"/>
  <c r="F6" i="2"/>
  <c r="B6" i="2"/>
  <c r="D5" i="2"/>
  <c r="E5" i="2"/>
  <c r="F5" i="2"/>
  <c r="C5" i="2"/>
</calcChain>
</file>

<file path=xl/sharedStrings.xml><?xml version="1.0" encoding="utf-8"?>
<sst xmlns="http://schemas.openxmlformats.org/spreadsheetml/2006/main" count="120" uniqueCount="83">
  <si>
    <t>Metric</t>
  </si>
  <si>
    <t>2020/21</t>
  </si>
  <si>
    <t>2021/22</t>
  </si>
  <si>
    <t>2022/23</t>
  </si>
  <si>
    <t>2023/24</t>
  </si>
  <si>
    <t>2024/25</t>
  </si>
  <si>
    <t>Revenue</t>
  </si>
  <si>
    <t>Gross profit</t>
  </si>
  <si>
    <t>EBITDA before special items</t>
  </si>
  <si>
    <t>—</t>
  </si>
  <si>
    <t>Normalized EBITDA</t>
  </si>
  <si>
    <t>Reported EBITDA</t>
  </si>
  <si>
    <t>Depreciation &amp; amortization</t>
  </si>
  <si>
    <t>EBIT</t>
  </si>
  <si>
    <t>Net financial items</t>
  </si>
  <si>
    <t>Profit/loss before tax</t>
  </si>
  <si>
    <t>Profit/loss for the year</t>
  </si>
  <si>
    <t>Assets</t>
  </si>
  <si>
    <t>Net interest-bearing debt</t>
  </si>
  <si>
    <t>Net working capital</t>
  </si>
  <si>
    <t>Equity</t>
  </si>
  <si>
    <t>Cash flow from operating activities</t>
  </si>
  <si>
    <t>Free cash flow</t>
  </si>
  <si>
    <t>Employees</t>
  </si>
  <si>
    <t>Organic growth %</t>
  </si>
  <si>
    <t>Gross profit margin %</t>
  </si>
  <si>
    <t>EBITDA margin before special items %</t>
  </si>
  <si>
    <t>Normalized EBITDA margin %</t>
  </si>
  <si>
    <t>Reported EBITDA margin %</t>
  </si>
  <si>
    <t>EBIT margin %</t>
  </si>
  <si>
    <t>ROE %</t>
  </si>
  <si>
    <t>Equity ratio %</t>
  </si>
  <si>
    <t>WS Audiology Financial Statement Analysis</t>
  </si>
  <si>
    <t>Raw key financial figures | FY 2020/21–FY 2024/25 | EUR million unless stated otherwise</t>
  </si>
  <si>
    <t>Income Statement</t>
  </si>
  <si>
    <t>Balance Sheet</t>
  </si>
  <si>
    <t>Cash Flow &amp; Other Data</t>
  </si>
  <si>
    <t>Reported Ratios</t>
  </si>
  <si>
    <t>Ratio</t>
  </si>
  <si>
    <t>Revenue growth</t>
  </si>
  <si>
    <t>Gross margin</t>
  </si>
  <si>
    <t>Reported EBITDA margin</t>
  </si>
  <si>
    <t>EBIT margin</t>
  </si>
  <si>
    <t>Net profit margin</t>
  </si>
  <si>
    <t>ROA</t>
  </si>
  <si>
    <t>ROE</t>
  </si>
  <si>
    <t>Net debt / Reported EBITDA</t>
  </si>
  <si>
    <t>FCF margin</t>
  </si>
  <si>
    <t>NWC / Revenue</t>
  </si>
  <si>
    <t>Equity ratio</t>
  </si>
  <si>
    <t>WS Audiology Ratio Analysis</t>
  </si>
  <si>
    <t>Calculated financial ratios | FY 2020/21–FY 2024/25</t>
  </si>
  <si>
    <t xml:space="preserve"> </t>
  </si>
  <si>
    <t>-</t>
  </si>
  <si>
    <t>EBITDA before special items margin</t>
  </si>
  <si>
    <t>Normalized EBITDA margin</t>
  </si>
  <si>
    <t>Operating cash flow margin</t>
  </si>
  <si>
    <t>Prepared data for Excel charts and Power BI dashboard</t>
  </si>
  <si>
    <t>Year</t>
  </si>
  <si>
    <t>Net debt / EBITDA</t>
  </si>
  <si>
    <t>FY 2020/21–FY 2024/25 | EUR million unless stated otherwise</t>
  </si>
  <si>
    <t>Analyze WS Audiology’s financial performance from FY 2020/21 to FY 2024/25 using publicly available annual report data.</t>
  </si>
  <si>
    <t>WS Audiology Annual Reports, primarily the FY 2024/25 restated 5-year key figures and financial ratios table.</t>
  </si>
  <si>
    <t>EUR million unless stated otherwise.</t>
  </si>
  <si>
    <t>The analysis includes revenue trend analysis, profitability ratios, cash flow analysis, working capital indicators, leverage analysis, and dashboard visualization.</t>
  </si>
  <si>
    <t>EBITDA margin</t>
  </si>
  <si>
    <t>Free cash flow margin</t>
  </si>
  <si>
    <t>Net working capital / revenue</t>
  </si>
  <si>
    <t>Raw financial values are manually collected from WSA’s public annual report.</t>
  </si>
  <si>
    <t>Ratio calculations are formula-based and linked to the raw data sheet.</t>
  </si>
  <si>
    <t>ROE is calculated using year-end equity and may differ from WSA’s reported ROE, which uses average equity.</t>
  </si>
  <si>
    <t>FY 2023/24 profitability ratios are affected by exceptional amortization of intangible assets.</t>
  </si>
  <si>
    <t>Objective:</t>
  </si>
  <si>
    <t>Data Source:</t>
  </si>
  <si>
    <t>Currency:</t>
  </si>
  <si>
    <t>Methodology:</t>
  </si>
  <si>
    <t>Key Ratios Calculated:</t>
  </si>
  <si>
    <t>Important Notes:</t>
  </si>
  <si>
    <t>WSA Financial Statement Analysis Project</t>
  </si>
  <si>
    <r>
      <rPr>
        <b/>
        <sz val="11"/>
        <color theme="1"/>
        <rFont val="Calibri"/>
        <family val="2"/>
        <scheme val="minor"/>
      </rPr>
      <t>Source</t>
    </r>
    <r>
      <rPr>
        <sz val="11"/>
        <color theme="1"/>
        <rFont val="Calibri"/>
        <family val="2"/>
        <scheme val="minor"/>
      </rPr>
      <t>: WSA Annual Report 2024/25, 5-year key figures and financial ratios table. Comparative figures are restated where applicable.</t>
    </r>
  </si>
  <si>
    <t>*Ratios are calculated using year-end figures from the raw financial data sheet. ROE may differ from WSA’s reported ROE because WSA uses average equity. FY 2023/24 profitability ratios are affected by exceptional amortization of intangible assets.</t>
  </si>
  <si>
    <t>WSA Chart Data</t>
  </si>
  <si>
    <t>WSA Financial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</si>
</sst>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7000FF"/>
      <name val="Calibri"/>
      <family val="2"/>
      <scheme val="minor"/>
    </font>
    <font>
      <b/>
      <sz val="16"/>
      <color rgb="FF7000FF"/>
      <name val="Calibri"/>
      <family val="2"/>
      <scheme val="minor"/>
    </font>
    <font>
      <b/>
      <sz val="11"/>
      <color rgb="FF7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right" vertical="center" wrapText="1"/>
    </xf>
    <xf numFmtId="0" fontId="0" fillId="2" borderId="0" xfId="0" applyFill="1"/>
    <xf numFmtId="0" fontId="2" fillId="2" borderId="0" xfId="0" applyFont="1" applyFill="1"/>
    <xf numFmtId="0" fontId="5" fillId="2" borderId="0" xfId="0" applyFont="1" applyFill="1"/>
    <xf numFmtId="0" fontId="3" fillId="3" borderId="1" xfId="0" applyFont="1" applyFill="1" applyBorder="1" applyAlignment="1">
      <alignment horizontal="right" vertical="center" wrapText="1"/>
    </xf>
    <xf numFmtId="0" fontId="6" fillId="2" borderId="0" xfId="0" applyFont="1" applyFill="1"/>
    <xf numFmtId="0" fontId="4" fillId="2" borderId="0" xfId="0" applyFont="1" applyFill="1"/>
    <xf numFmtId="3" fontId="0" fillId="2" borderId="0" xfId="0" applyNumberFormat="1" applyFill="1" applyAlignment="1">
      <alignment horizontal="left"/>
    </xf>
    <xf numFmtId="10" fontId="0" fillId="2" borderId="0" xfId="0" applyNumberFormat="1" applyFill="1" applyAlignment="1">
      <alignment horizontal="left"/>
    </xf>
    <xf numFmtId="2" fontId="0" fillId="2" borderId="0" xfId="0" applyNumberFormat="1" applyFill="1" applyAlignment="1">
      <alignment horizontal="left"/>
    </xf>
    <xf numFmtId="1" fontId="0" fillId="2" borderId="0" xfId="0" applyNumberFormat="1" applyFill="1" applyAlignment="1">
      <alignment horizontal="left"/>
    </xf>
    <xf numFmtId="164" fontId="3" fillId="3" borderId="1" xfId="0" applyNumberFormat="1" applyFont="1" applyFill="1" applyBorder="1" applyAlignment="1">
      <alignment horizontal="right" vertical="center" wrapText="1"/>
    </xf>
    <xf numFmtId="165" fontId="3" fillId="3" borderId="1" xfId="0" applyNumberFormat="1" applyFont="1" applyFill="1" applyBorder="1" applyAlignment="1">
      <alignment horizontal="right" vertical="center" wrapText="1"/>
    </xf>
    <xf numFmtId="10" fontId="0" fillId="2" borderId="0" xfId="0" applyNumberFormat="1" applyFill="1" applyAlignment="1">
      <alignment horizontal="right"/>
    </xf>
    <xf numFmtId="2" fontId="0" fillId="2" borderId="0" xfId="0" applyNumberFormat="1" applyFill="1" applyAlignment="1">
      <alignment horizontal="right"/>
    </xf>
    <xf numFmtId="0" fontId="1" fillId="2" borderId="0" xfId="0" applyFont="1" applyFill="1"/>
    <xf numFmtId="0" fontId="8" fillId="3" borderId="1" xfId="0" applyFont="1" applyFill="1" applyBorder="1"/>
    <xf numFmtId="0" fontId="9" fillId="2" borderId="0" xfId="0" applyFont="1" applyFill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 wrapText="1"/>
    </xf>
    <xf numFmtId="0" fontId="10" fillId="3" borderId="0" xfId="0" applyFont="1" applyFill="1" applyAlignment="1">
      <alignment vertical="center"/>
    </xf>
    <xf numFmtId="0" fontId="10" fillId="3" borderId="0" xfId="0" applyFont="1" applyFill="1" applyAlignment="1">
      <alignment horizontal="right" vertical="center" wrapText="1"/>
    </xf>
    <xf numFmtId="0" fontId="10" fillId="3" borderId="0" xfId="0" applyFont="1" applyFill="1"/>
  </cellXfs>
  <cellStyles count="1">
    <cellStyle name="Normal" xfId="0" builtinId="0"/>
  </cellStyles>
  <dxfs count="9">
    <dxf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00FF"/>
        <name val="Calibri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7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2">
                    <a:lumMod val="25000"/>
                  </a:schemeClr>
                </a:solidFill>
              </a:rPr>
              <a:t>Revenue Trend, EURm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Chart_Data!$B$4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rgbClr val="7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Chart_Data!$A$5:$A$9</c:f>
              <c:strCache>
                <c:ptCount val="5"/>
                <c:pt idx="0">
                  <c:v>2020/21</c:v>
                </c:pt>
                <c:pt idx="1">
                  <c:v>2021/22</c:v>
                </c:pt>
                <c:pt idx="2">
                  <c:v>2022/23</c:v>
                </c:pt>
                <c:pt idx="3">
                  <c:v>2023/24</c:v>
                </c:pt>
                <c:pt idx="4">
                  <c:v>2024/25</c:v>
                </c:pt>
              </c:strCache>
            </c:strRef>
          </c:cat>
          <c:val>
            <c:numRef>
              <c:f>Chart_Data!$B$5:$B$9</c:f>
              <c:numCache>
                <c:formatCode>#,##0</c:formatCode>
                <c:ptCount val="5"/>
                <c:pt idx="0">
                  <c:v>2053</c:v>
                </c:pt>
                <c:pt idx="1">
                  <c:v>2351</c:v>
                </c:pt>
                <c:pt idx="2">
                  <c:v>2465</c:v>
                </c:pt>
                <c:pt idx="3">
                  <c:v>2637</c:v>
                </c:pt>
                <c:pt idx="4">
                  <c:v>2579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58-4F4F-84C0-4D9A7E96AFB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48328304"/>
        <c:axId val="848328664"/>
      </c:lineChart>
      <c:catAx>
        <c:axId val="84832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328664"/>
        <c:crosses val="autoZero"/>
        <c:auto val="1"/>
        <c:lblAlgn val="ctr"/>
        <c:lblOffset val="100"/>
        <c:noMultiLvlLbl val="0"/>
      </c:catAx>
      <c:valAx>
        <c:axId val="8483286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32830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Gross Profit and Gross Margin</a:t>
            </a:r>
            <a:endParaRPr lang="en-US"/>
          </a:p>
        </c:rich>
      </c:tx>
      <c:layout>
        <c:manualLayout>
          <c:xMode val="edge"/>
          <c:yMode val="edge"/>
          <c:x val="0.25599300087489063"/>
          <c:y val="9.291521486643437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Chart_Data!$C$4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7000FF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Chart_Data!$A$5:$A$9</c:f>
              <c:strCache>
                <c:ptCount val="5"/>
                <c:pt idx="0">
                  <c:v>2020/21</c:v>
                </c:pt>
                <c:pt idx="1">
                  <c:v>2021/22</c:v>
                </c:pt>
                <c:pt idx="2">
                  <c:v>2022/23</c:v>
                </c:pt>
                <c:pt idx="3">
                  <c:v>2023/24</c:v>
                </c:pt>
                <c:pt idx="4">
                  <c:v>2024/25</c:v>
                </c:pt>
              </c:strCache>
            </c:strRef>
          </c:cat>
          <c:val>
            <c:numRef>
              <c:f>Chart_Data!$C$5:$C$9</c:f>
              <c:numCache>
                <c:formatCode>0</c:formatCode>
                <c:ptCount val="5"/>
                <c:pt idx="0">
                  <c:v>1202</c:v>
                </c:pt>
                <c:pt idx="1">
                  <c:v>1376</c:v>
                </c:pt>
                <c:pt idx="2">
                  <c:v>1440</c:v>
                </c:pt>
                <c:pt idx="3">
                  <c:v>1496</c:v>
                </c:pt>
                <c:pt idx="4">
                  <c:v>1619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8-4C48-A184-693103B80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5925464"/>
        <c:axId val="925926184"/>
      </c:barChart>
      <c:lineChart>
        <c:grouping val="standard"/>
        <c:varyColors val="0"/>
        <c:ser>
          <c:idx val="1"/>
          <c:order val="1"/>
          <c:tx>
            <c:strRef>
              <c:f>Chart_Data!$D$4</c:f>
              <c:strCache>
                <c:ptCount val="1"/>
                <c:pt idx="0">
                  <c:v>Gross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Chart_Data!$A$5:$A$9</c:f>
              <c:strCache>
                <c:ptCount val="5"/>
                <c:pt idx="0">
                  <c:v>2020/21</c:v>
                </c:pt>
                <c:pt idx="1">
                  <c:v>2021/22</c:v>
                </c:pt>
                <c:pt idx="2">
                  <c:v>2022/23</c:v>
                </c:pt>
                <c:pt idx="3">
                  <c:v>2023/24</c:v>
                </c:pt>
                <c:pt idx="4">
                  <c:v>2024/25</c:v>
                </c:pt>
              </c:strCache>
            </c:strRef>
          </c:cat>
          <c:val>
            <c:numRef>
              <c:f>Chart_Data!$D$5:$D$9</c:f>
              <c:numCache>
                <c:formatCode>0.00%</c:formatCode>
                <c:ptCount val="5"/>
                <c:pt idx="0">
                  <c:v>0.58550000000000002</c:v>
                </c:pt>
                <c:pt idx="1">
                  <c:v>0.58530000000000004</c:v>
                </c:pt>
                <c:pt idx="2">
                  <c:v>0.58420000000000005</c:v>
                </c:pt>
                <c:pt idx="3">
                  <c:v>0.56730000000000003</c:v>
                </c:pt>
                <c:pt idx="4">
                  <c:v>0.62780000000000002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38-4C48-A184-693103B80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5928704"/>
        <c:axId val="925927984"/>
      </c:lineChart>
      <c:catAx>
        <c:axId val="925925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926184"/>
        <c:crosses val="autoZero"/>
        <c:auto val="1"/>
        <c:lblAlgn val="ctr"/>
        <c:lblOffset val="100"/>
        <c:noMultiLvlLbl val="0"/>
      </c:catAx>
      <c:valAx>
        <c:axId val="92592618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925464"/>
        <c:crosses val="autoZero"/>
        <c:crossBetween val="between"/>
        <c:majorUnit val="300"/>
      </c:valAx>
      <c:valAx>
        <c:axId val="92592798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928704"/>
        <c:crosses val="max"/>
        <c:crossBetween val="between"/>
        <c:majorUnit val="2.0000000000000004E-2"/>
      </c:valAx>
      <c:catAx>
        <c:axId val="9259287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59279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Reported EBITDA and EBITDA Margin</a:t>
            </a:r>
            <a:endParaRPr lang="en-US"/>
          </a:p>
        </c:rich>
      </c:tx>
      <c:layout>
        <c:manualLayout>
          <c:xMode val="edge"/>
          <c:yMode val="edge"/>
          <c:x val="0.19986105321661804"/>
          <c:y val="9.246417013407304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Chart_Data!$E$4</c:f>
              <c:strCache>
                <c:ptCount val="1"/>
                <c:pt idx="0">
                  <c:v>Reported EBITDA</c:v>
                </c:pt>
              </c:strCache>
            </c:strRef>
          </c:tx>
          <c:spPr>
            <a:solidFill>
              <a:srgbClr val="7000FF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Chart_Data!$A$5:$A$9</c:f>
              <c:strCache>
                <c:ptCount val="5"/>
                <c:pt idx="0">
                  <c:v>2020/21</c:v>
                </c:pt>
                <c:pt idx="1">
                  <c:v>2021/22</c:v>
                </c:pt>
                <c:pt idx="2">
                  <c:v>2022/23</c:v>
                </c:pt>
                <c:pt idx="3">
                  <c:v>2023/24</c:v>
                </c:pt>
                <c:pt idx="4">
                  <c:v>2024/25</c:v>
                </c:pt>
              </c:strCache>
            </c:strRef>
          </c:cat>
          <c:val>
            <c:numRef>
              <c:f>Chart_Data!$E$5:$E$9</c:f>
              <c:numCache>
                <c:formatCode>0</c:formatCode>
                <c:ptCount val="5"/>
                <c:pt idx="0">
                  <c:v>334</c:v>
                </c:pt>
                <c:pt idx="1">
                  <c:v>302</c:v>
                </c:pt>
                <c:pt idx="2">
                  <c:v>374</c:v>
                </c:pt>
                <c:pt idx="3">
                  <c:v>419</c:v>
                </c:pt>
                <c:pt idx="4">
                  <c:v>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D-495C-999E-AA8C95952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1943816"/>
        <c:axId val="961941296"/>
      </c:barChart>
      <c:lineChart>
        <c:grouping val="standard"/>
        <c:varyColors val="0"/>
        <c:ser>
          <c:idx val="1"/>
          <c:order val="1"/>
          <c:tx>
            <c:strRef>
              <c:f>Chart_Data!$F$4</c:f>
              <c:strCache>
                <c:ptCount val="1"/>
                <c:pt idx="0">
                  <c:v>Reported EBITDA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Chart_Data!$A$5:$A$9</c:f>
              <c:strCache>
                <c:ptCount val="5"/>
                <c:pt idx="0">
                  <c:v>2020/21</c:v>
                </c:pt>
                <c:pt idx="1">
                  <c:v>2021/22</c:v>
                </c:pt>
                <c:pt idx="2">
                  <c:v>2022/23</c:v>
                </c:pt>
                <c:pt idx="3">
                  <c:v>2023/24</c:v>
                </c:pt>
                <c:pt idx="4">
                  <c:v>2024/25</c:v>
                </c:pt>
              </c:strCache>
            </c:strRef>
          </c:cat>
          <c:val>
            <c:numRef>
              <c:f>Chart_Data!$F$5:$F$9</c:f>
              <c:numCache>
                <c:formatCode>0.00%</c:formatCode>
                <c:ptCount val="5"/>
                <c:pt idx="0">
                  <c:v>0.16270000000000001</c:v>
                </c:pt>
                <c:pt idx="1">
                  <c:v>0.1285</c:v>
                </c:pt>
                <c:pt idx="2">
                  <c:v>0.1517</c:v>
                </c:pt>
                <c:pt idx="3">
                  <c:v>0.15890000000000001</c:v>
                </c:pt>
                <c:pt idx="4">
                  <c:v>0.16789999999999999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5D-495C-999E-AA8C95952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1943096"/>
        <c:axId val="961938416"/>
      </c:lineChart>
      <c:catAx>
        <c:axId val="961943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941296"/>
        <c:crosses val="autoZero"/>
        <c:auto val="1"/>
        <c:lblAlgn val="ctr"/>
        <c:lblOffset val="100"/>
        <c:noMultiLvlLbl val="0"/>
      </c:catAx>
      <c:valAx>
        <c:axId val="96194129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943816"/>
        <c:crosses val="autoZero"/>
        <c:crossBetween val="between"/>
      </c:valAx>
      <c:valAx>
        <c:axId val="96193841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943096"/>
        <c:crosses val="max"/>
        <c:crossBetween val="between"/>
      </c:valAx>
      <c:catAx>
        <c:axId val="9619430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1938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Free Cash Flow and FCF Margin</a:t>
            </a:r>
            <a:endParaRPr lang="en-US"/>
          </a:p>
        </c:rich>
      </c:tx>
      <c:layout>
        <c:manualLayout>
          <c:xMode val="edge"/>
          <c:yMode val="edge"/>
          <c:x val="0.25166464054664828"/>
          <c:y val="4.636068613815484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Chart_Data!$G$4</c:f>
              <c:strCache>
                <c:ptCount val="1"/>
                <c:pt idx="0">
                  <c:v>Free cash flow</c:v>
                </c:pt>
              </c:strCache>
            </c:strRef>
          </c:tx>
          <c:spPr>
            <a:solidFill>
              <a:srgbClr val="7000FF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Chart_Data!$A$5:$A$9</c:f>
              <c:strCache>
                <c:ptCount val="5"/>
                <c:pt idx="0">
                  <c:v>2020/21</c:v>
                </c:pt>
                <c:pt idx="1">
                  <c:v>2021/22</c:v>
                </c:pt>
                <c:pt idx="2">
                  <c:v>2022/23</c:v>
                </c:pt>
                <c:pt idx="3">
                  <c:v>2023/24</c:v>
                </c:pt>
                <c:pt idx="4">
                  <c:v>2024/25</c:v>
                </c:pt>
              </c:strCache>
            </c:strRef>
          </c:cat>
          <c:val>
            <c:numRef>
              <c:f>Chart_Data!$G$5:$G$9</c:f>
              <c:numCache>
                <c:formatCode>0</c:formatCode>
                <c:ptCount val="5"/>
                <c:pt idx="0">
                  <c:v>262</c:v>
                </c:pt>
                <c:pt idx="1">
                  <c:v>203</c:v>
                </c:pt>
                <c:pt idx="2">
                  <c:v>251</c:v>
                </c:pt>
                <c:pt idx="3">
                  <c:v>205</c:v>
                </c:pt>
                <c:pt idx="4">
                  <c:v>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3-4349-960C-9E9C4BF25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1825112"/>
        <c:axId val="961822952"/>
      </c:barChart>
      <c:lineChart>
        <c:grouping val="standard"/>
        <c:varyColors val="0"/>
        <c:ser>
          <c:idx val="1"/>
          <c:order val="1"/>
          <c:tx>
            <c:strRef>
              <c:f>Chart_Data!$H$4</c:f>
              <c:strCache>
                <c:ptCount val="1"/>
                <c:pt idx="0">
                  <c:v>FCF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Chart_Data!$A$5:$A$9</c:f>
              <c:strCache>
                <c:ptCount val="5"/>
                <c:pt idx="0">
                  <c:v>2020/21</c:v>
                </c:pt>
                <c:pt idx="1">
                  <c:v>2021/22</c:v>
                </c:pt>
                <c:pt idx="2">
                  <c:v>2022/23</c:v>
                </c:pt>
                <c:pt idx="3">
                  <c:v>2023/24</c:v>
                </c:pt>
                <c:pt idx="4">
                  <c:v>2024/25</c:v>
                </c:pt>
              </c:strCache>
            </c:strRef>
          </c:cat>
          <c:val>
            <c:numRef>
              <c:f>Chart_Data!$H$5:$H$9</c:f>
              <c:numCache>
                <c:formatCode>0.00%</c:formatCode>
                <c:ptCount val="5"/>
                <c:pt idx="0">
                  <c:v>0.12759999999999999</c:v>
                </c:pt>
                <c:pt idx="1">
                  <c:v>8.6300000000000002E-2</c:v>
                </c:pt>
                <c:pt idx="2">
                  <c:v>0.1018</c:v>
                </c:pt>
                <c:pt idx="3">
                  <c:v>7.7700000000000005E-2</c:v>
                </c:pt>
                <c:pt idx="4">
                  <c:v>0.114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33-4349-960C-9E9C4BF25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1823312"/>
        <c:axId val="961832672"/>
      </c:lineChart>
      <c:catAx>
        <c:axId val="961825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822952"/>
        <c:crosses val="autoZero"/>
        <c:auto val="1"/>
        <c:lblAlgn val="ctr"/>
        <c:lblOffset val="100"/>
        <c:noMultiLvlLbl val="0"/>
      </c:catAx>
      <c:valAx>
        <c:axId val="9618229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825112"/>
        <c:crosses val="autoZero"/>
        <c:crossBetween val="between"/>
      </c:valAx>
      <c:valAx>
        <c:axId val="96183267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823312"/>
        <c:crosses val="max"/>
        <c:crossBetween val="between"/>
      </c:valAx>
      <c:catAx>
        <c:axId val="9618233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18326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Chart_Data!$I$4</c:f>
              <c:strCache>
                <c:ptCount val="1"/>
                <c:pt idx="0">
                  <c:v>Net debt / Reported EBITDA</c:v>
                </c:pt>
              </c:strCache>
            </c:strRef>
          </c:tx>
          <c:spPr>
            <a:ln w="28575" cap="rnd">
              <a:solidFill>
                <a:srgbClr val="7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Chart_Data!$A$5:$A$9</c:f>
              <c:strCache>
                <c:ptCount val="5"/>
                <c:pt idx="0">
                  <c:v>2020/21</c:v>
                </c:pt>
                <c:pt idx="1">
                  <c:v>2021/22</c:v>
                </c:pt>
                <c:pt idx="2">
                  <c:v>2022/23</c:v>
                </c:pt>
                <c:pt idx="3">
                  <c:v>2023/24</c:v>
                </c:pt>
                <c:pt idx="4">
                  <c:v>2024/25</c:v>
                </c:pt>
              </c:strCache>
            </c:strRef>
          </c:cat>
          <c:val>
            <c:numRef>
              <c:f>Chart_Data!$I$5:$I$9</c:f>
              <c:numCache>
                <c:formatCode>0.00</c:formatCode>
                <c:ptCount val="5"/>
                <c:pt idx="0">
                  <c:v>10.49</c:v>
                </c:pt>
                <c:pt idx="1">
                  <c:v>12.4</c:v>
                </c:pt>
                <c:pt idx="2">
                  <c:v>9.65</c:v>
                </c:pt>
                <c:pt idx="3">
                  <c:v>7.89</c:v>
                </c:pt>
                <c:pt idx="4">
                  <c:v>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A2-4192-A6ED-8EF803D2235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31499184"/>
        <c:axId val="931498824"/>
      </c:lineChart>
      <c:catAx>
        <c:axId val="93149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498824"/>
        <c:crosses val="autoZero"/>
        <c:auto val="1"/>
        <c:lblAlgn val="ctr"/>
        <c:lblOffset val="100"/>
        <c:noMultiLvlLbl val="0"/>
      </c:catAx>
      <c:valAx>
        <c:axId val="93149882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49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2">
                    <a:lumMod val="25000"/>
                  </a:schemeClr>
                </a:solidFill>
              </a:rPr>
              <a:t>Revenue Trend, EURm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Chart_Data!$B$4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rgbClr val="7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Chart_Data!$A$5:$A$9</c:f>
              <c:strCache>
                <c:ptCount val="5"/>
                <c:pt idx="0">
                  <c:v>2020/21</c:v>
                </c:pt>
                <c:pt idx="1">
                  <c:v>2021/22</c:v>
                </c:pt>
                <c:pt idx="2">
                  <c:v>2022/23</c:v>
                </c:pt>
                <c:pt idx="3">
                  <c:v>2023/24</c:v>
                </c:pt>
                <c:pt idx="4">
                  <c:v>2024/25</c:v>
                </c:pt>
              </c:strCache>
            </c:strRef>
          </c:cat>
          <c:val>
            <c:numRef>
              <c:f>Chart_Data!$B$5:$B$9</c:f>
              <c:numCache>
                <c:formatCode>#,##0</c:formatCode>
                <c:ptCount val="5"/>
                <c:pt idx="0">
                  <c:v>2053</c:v>
                </c:pt>
                <c:pt idx="1">
                  <c:v>2351</c:v>
                </c:pt>
                <c:pt idx="2">
                  <c:v>2465</c:v>
                </c:pt>
                <c:pt idx="3">
                  <c:v>2637</c:v>
                </c:pt>
                <c:pt idx="4">
                  <c:v>2579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E4-44C9-9D56-39A5877EF40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48328304"/>
        <c:axId val="848328664"/>
      </c:lineChart>
      <c:catAx>
        <c:axId val="84832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328664"/>
        <c:crosses val="autoZero"/>
        <c:auto val="1"/>
        <c:lblAlgn val="ctr"/>
        <c:lblOffset val="100"/>
        <c:noMultiLvlLbl val="0"/>
      </c:catAx>
      <c:valAx>
        <c:axId val="8483286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32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Gross Profit and Gross Margin</a:t>
            </a:r>
            <a:endParaRPr lang="en-US"/>
          </a:p>
        </c:rich>
      </c:tx>
      <c:layout>
        <c:manualLayout>
          <c:xMode val="edge"/>
          <c:yMode val="edge"/>
          <c:x val="0.25599300087489063"/>
          <c:y val="9.291521486643437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Chart_Data!$C$4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7000FF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Chart_Data!$A$5:$A$9</c:f>
              <c:strCache>
                <c:ptCount val="5"/>
                <c:pt idx="0">
                  <c:v>2020/21</c:v>
                </c:pt>
                <c:pt idx="1">
                  <c:v>2021/22</c:v>
                </c:pt>
                <c:pt idx="2">
                  <c:v>2022/23</c:v>
                </c:pt>
                <c:pt idx="3">
                  <c:v>2023/24</c:v>
                </c:pt>
                <c:pt idx="4">
                  <c:v>2024/25</c:v>
                </c:pt>
              </c:strCache>
            </c:strRef>
          </c:cat>
          <c:val>
            <c:numRef>
              <c:f>Chart_Data!$C$5:$C$9</c:f>
              <c:numCache>
                <c:formatCode>0</c:formatCode>
                <c:ptCount val="5"/>
                <c:pt idx="0">
                  <c:v>1202</c:v>
                </c:pt>
                <c:pt idx="1">
                  <c:v>1376</c:v>
                </c:pt>
                <c:pt idx="2">
                  <c:v>1440</c:v>
                </c:pt>
                <c:pt idx="3">
                  <c:v>1496</c:v>
                </c:pt>
                <c:pt idx="4">
                  <c:v>1619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1-439E-B56A-A242FE8A4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5925464"/>
        <c:axId val="925926184"/>
      </c:barChart>
      <c:lineChart>
        <c:grouping val="standard"/>
        <c:varyColors val="0"/>
        <c:ser>
          <c:idx val="1"/>
          <c:order val="1"/>
          <c:tx>
            <c:strRef>
              <c:f>Chart_Data!$D$4</c:f>
              <c:strCache>
                <c:ptCount val="1"/>
                <c:pt idx="0">
                  <c:v>Gross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Chart_Data!$A$5:$A$9</c:f>
              <c:strCache>
                <c:ptCount val="5"/>
                <c:pt idx="0">
                  <c:v>2020/21</c:v>
                </c:pt>
                <c:pt idx="1">
                  <c:v>2021/22</c:v>
                </c:pt>
                <c:pt idx="2">
                  <c:v>2022/23</c:v>
                </c:pt>
                <c:pt idx="3">
                  <c:v>2023/24</c:v>
                </c:pt>
                <c:pt idx="4">
                  <c:v>2024/25</c:v>
                </c:pt>
              </c:strCache>
            </c:strRef>
          </c:cat>
          <c:val>
            <c:numRef>
              <c:f>Chart_Data!$D$5:$D$9</c:f>
              <c:numCache>
                <c:formatCode>0.00%</c:formatCode>
                <c:ptCount val="5"/>
                <c:pt idx="0">
                  <c:v>0.58550000000000002</c:v>
                </c:pt>
                <c:pt idx="1">
                  <c:v>0.58530000000000004</c:v>
                </c:pt>
                <c:pt idx="2">
                  <c:v>0.58420000000000005</c:v>
                </c:pt>
                <c:pt idx="3">
                  <c:v>0.56730000000000003</c:v>
                </c:pt>
                <c:pt idx="4">
                  <c:v>0.62780000000000002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F1-439E-B56A-A242FE8A4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5928704"/>
        <c:axId val="925927984"/>
      </c:lineChart>
      <c:catAx>
        <c:axId val="925925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926184"/>
        <c:crosses val="autoZero"/>
        <c:auto val="1"/>
        <c:lblAlgn val="ctr"/>
        <c:lblOffset val="100"/>
        <c:noMultiLvlLbl val="0"/>
      </c:catAx>
      <c:valAx>
        <c:axId val="92592618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925464"/>
        <c:crosses val="autoZero"/>
        <c:crossBetween val="between"/>
        <c:majorUnit val="300"/>
      </c:valAx>
      <c:valAx>
        <c:axId val="92592798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928704"/>
        <c:crosses val="max"/>
        <c:crossBetween val="between"/>
        <c:majorUnit val="2.0000000000000004E-2"/>
      </c:valAx>
      <c:catAx>
        <c:axId val="9259287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59279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Reported EBITDA and EBITDA Margin</a:t>
            </a:r>
            <a:endParaRPr lang="en-US"/>
          </a:p>
        </c:rich>
      </c:tx>
      <c:layout>
        <c:manualLayout>
          <c:xMode val="edge"/>
          <c:yMode val="edge"/>
          <c:x val="0.19986105321661804"/>
          <c:y val="9.246417013407304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Chart_Data!$E$4</c:f>
              <c:strCache>
                <c:ptCount val="1"/>
                <c:pt idx="0">
                  <c:v>Reported EBITDA</c:v>
                </c:pt>
              </c:strCache>
            </c:strRef>
          </c:tx>
          <c:spPr>
            <a:solidFill>
              <a:srgbClr val="7000FF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Chart_Data!$A$5:$A$9</c:f>
              <c:strCache>
                <c:ptCount val="5"/>
                <c:pt idx="0">
                  <c:v>2020/21</c:v>
                </c:pt>
                <c:pt idx="1">
                  <c:v>2021/22</c:v>
                </c:pt>
                <c:pt idx="2">
                  <c:v>2022/23</c:v>
                </c:pt>
                <c:pt idx="3">
                  <c:v>2023/24</c:v>
                </c:pt>
                <c:pt idx="4">
                  <c:v>2024/25</c:v>
                </c:pt>
              </c:strCache>
            </c:strRef>
          </c:cat>
          <c:val>
            <c:numRef>
              <c:f>Chart_Data!$E$5:$E$9</c:f>
              <c:numCache>
                <c:formatCode>0</c:formatCode>
                <c:ptCount val="5"/>
                <c:pt idx="0">
                  <c:v>334</c:v>
                </c:pt>
                <c:pt idx="1">
                  <c:v>302</c:v>
                </c:pt>
                <c:pt idx="2">
                  <c:v>374</c:v>
                </c:pt>
                <c:pt idx="3">
                  <c:v>419</c:v>
                </c:pt>
                <c:pt idx="4">
                  <c:v>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A1-4D83-8AD9-51277CF57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1943816"/>
        <c:axId val="961941296"/>
      </c:barChart>
      <c:lineChart>
        <c:grouping val="standard"/>
        <c:varyColors val="0"/>
        <c:ser>
          <c:idx val="1"/>
          <c:order val="1"/>
          <c:tx>
            <c:strRef>
              <c:f>Chart_Data!$F$4</c:f>
              <c:strCache>
                <c:ptCount val="1"/>
                <c:pt idx="0">
                  <c:v>Reported EBITDA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Chart_Data!$A$5:$A$9</c:f>
              <c:strCache>
                <c:ptCount val="5"/>
                <c:pt idx="0">
                  <c:v>2020/21</c:v>
                </c:pt>
                <c:pt idx="1">
                  <c:v>2021/22</c:v>
                </c:pt>
                <c:pt idx="2">
                  <c:v>2022/23</c:v>
                </c:pt>
                <c:pt idx="3">
                  <c:v>2023/24</c:v>
                </c:pt>
                <c:pt idx="4">
                  <c:v>2024/25</c:v>
                </c:pt>
              </c:strCache>
            </c:strRef>
          </c:cat>
          <c:val>
            <c:numRef>
              <c:f>Chart_Data!$F$5:$F$9</c:f>
              <c:numCache>
                <c:formatCode>0.00%</c:formatCode>
                <c:ptCount val="5"/>
                <c:pt idx="0">
                  <c:v>0.16270000000000001</c:v>
                </c:pt>
                <c:pt idx="1">
                  <c:v>0.1285</c:v>
                </c:pt>
                <c:pt idx="2">
                  <c:v>0.1517</c:v>
                </c:pt>
                <c:pt idx="3">
                  <c:v>0.15890000000000001</c:v>
                </c:pt>
                <c:pt idx="4">
                  <c:v>0.16789999999999999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1-4D83-8AD9-51277CF57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1943096"/>
        <c:axId val="961938416"/>
      </c:lineChart>
      <c:catAx>
        <c:axId val="961943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941296"/>
        <c:crosses val="autoZero"/>
        <c:auto val="1"/>
        <c:lblAlgn val="ctr"/>
        <c:lblOffset val="100"/>
        <c:noMultiLvlLbl val="0"/>
      </c:catAx>
      <c:valAx>
        <c:axId val="96194129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943816"/>
        <c:crosses val="autoZero"/>
        <c:crossBetween val="between"/>
      </c:valAx>
      <c:valAx>
        <c:axId val="96193841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943096"/>
        <c:crosses val="max"/>
        <c:crossBetween val="between"/>
      </c:valAx>
      <c:catAx>
        <c:axId val="9619430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1938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Free Cash Flow and FCF Margin</a:t>
            </a:r>
            <a:endParaRPr lang="en-US"/>
          </a:p>
        </c:rich>
      </c:tx>
      <c:layout>
        <c:manualLayout>
          <c:xMode val="edge"/>
          <c:yMode val="edge"/>
          <c:x val="0.25166464054664828"/>
          <c:y val="4.636068613815484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Chart_Data!$G$4</c:f>
              <c:strCache>
                <c:ptCount val="1"/>
                <c:pt idx="0">
                  <c:v>Free cash flow</c:v>
                </c:pt>
              </c:strCache>
            </c:strRef>
          </c:tx>
          <c:spPr>
            <a:solidFill>
              <a:srgbClr val="7000FF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Chart_Data!$A$5:$A$9</c:f>
              <c:strCache>
                <c:ptCount val="5"/>
                <c:pt idx="0">
                  <c:v>2020/21</c:v>
                </c:pt>
                <c:pt idx="1">
                  <c:v>2021/22</c:v>
                </c:pt>
                <c:pt idx="2">
                  <c:v>2022/23</c:v>
                </c:pt>
                <c:pt idx="3">
                  <c:v>2023/24</c:v>
                </c:pt>
                <c:pt idx="4">
                  <c:v>2024/25</c:v>
                </c:pt>
              </c:strCache>
            </c:strRef>
          </c:cat>
          <c:val>
            <c:numRef>
              <c:f>Chart_Data!$G$5:$G$9</c:f>
              <c:numCache>
                <c:formatCode>0</c:formatCode>
                <c:ptCount val="5"/>
                <c:pt idx="0">
                  <c:v>262</c:v>
                </c:pt>
                <c:pt idx="1">
                  <c:v>203</c:v>
                </c:pt>
                <c:pt idx="2">
                  <c:v>251</c:v>
                </c:pt>
                <c:pt idx="3">
                  <c:v>205</c:v>
                </c:pt>
                <c:pt idx="4">
                  <c:v>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7D-434A-8304-092E22EC5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1825112"/>
        <c:axId val="961822952"/>
      </c:barChart>
      <c:lineChart>
        <c:grouping val="standard"/>
        <c:varyColors val="0"/>
        <c:ser>
          <c:idx val="1"/>
          <c:order val="1"/>
          <c:tx>
            <c:strRef>
              <c:f>Chart_Data!$H$4</c:f>
              <c:strCache>
                <c:ptCount val="1"/>
                <c:pt idx="0">
                  <c:v>FCF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Chart_Data!$A$5:$A$9</c:f>
              <c:strCache>
                <c:ptCount val="5"/>
                <c:pt idx="0">
                  <c:v>2020/21</c:v>
                </c:pt>
                <c:pt idx="1">
                  <c:v>2021/22</c:v>
                </c:pt>
                <c:pt idx="2">
                  <c:v>2022/23</c:v>
                </c:pt>
                <c:pt idx="3">
                  <c:v>2023/24</c:v>
                </c:pt>
                <c:pt idx="4">
                  <c:v>2024/25</c:v>
                </c:pt>
              </c:strCache>
            </c:strRef>
          </c:cat>
          <c:val>
            <c:numRef>
              <c:f>Chart_Data!$H$5:$H$9</c:f>
              <c:numCache>
                <c:formatCode>0.00%</c:formatCode>
                <c:ptCount val="5"/>
                <c:pt idx="0">
                  <c:v>0.12759999999999999</c:v>
                </c:pt>
                <c:pt idx="1">
                  <c:v>8.6300000000000002E-2</c:v>
                </c:pt>
                <c:pt idx="2">
                  <c:v>0.1018</c:v>
                </c:pt>
                <c:pt idx="3">
                  <c:v>7.7700000000000005E-2</c:v>
                </c:pt>
                <c:pt idx="4">
                  <c:v>0.114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7D-434A-8304-092E22EC5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1823312"/>
        <c:axId val="961832672"/>
      </c:lineChart>
      <c:catAx>
        <c:axId val="961825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822952"/>
        <c:crosses val="autoZero"/>
        <c:auto val="1"/>
        <c:lblAlgn val="ctr"/>
        <c:lblOffset val="100"/>
        <c:noMultiLvlLbl val="0"/>
      </c:catAx>
      <c:valAx>
        <c:axId val="9618229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825112"/>
        <c:crosses val="autoZero"/>
        <c:crossBetween val="between"/>
      </c:valAx>
      <c:valAx>
        <c:axId val="96183267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823312"/>
        <c:crosses val="max"/>
        <c:crossBetween val="between"/>
      </c:valAx>
      <c:catAx>
        <c:axId val="9618233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18326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Chart_Data!$I$4</c:f>
              <c:strCache>
                <c:ptCount val="1"/>
                <c:pt idx="0">
                  <c:v>Net debt / Reported EBITDA</c:v>
                </c:pt>
              </c:strCache>
            </c:strRef>
          </c:tx>
          <c:spPr>
            <a:ln w="28575" cap="rnd">
              <a:solidFill>
                <a:srgbClr val="7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Chart_Data!$A$5:$A$9</c:f>
              <c:strCache>
                <c:ptCount val="5"/>
                <c:pt idx="0">
                  <c:v>2020/21</c:v>
                </c:pt>
                <c:pt idx="1">
                  <c:v>2021/22</c:v>
                </c:pt>
                <c:pt idx="2">
                  <c:v>2022/23</c:v>
                </c:pt>
                <c:pt idx="3">
                  <c:v>2023/24</c:v>
                </c:pt>
                <c:pt idx="4">
                  <c:v>2024/25</c:v>
                </c:pt>
              </c:strCache>
            </c:strRef>
          </c:cat>
          <c:val>
            <c:numRef>
              <c:f>Chart_Data!$I$5:$I$9</c:f>
              <c:numCache>
                <c:formatCode>0.00</c:formatCode>
                <c:ptCount val="5"/>
                <c:pt idx="0">
                  <c:v>10.49</c:v>
                </c:pt>
                <c:pt idx="1">
                  <c:v>12.4</c:v>
                </c:pt>
                <c:pt idx="2">
                  <c:v>9.65</c:v>
                </c:pt>
                <c:pt idx="3">
                  <c:v>7.89</c:v>
                </c:pt>
                <c:pt idx="4">
                  <c:v>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11-437B-A78A-9267938DDE3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31499184"/>
        <c:axId val="931498824"/>
      </c:lineChart>
      <c:catAx>
        <c:axId val="93149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498824"/>
        <c:crosses val="autoZero"/>
        <c:auto val="1"/>
        <c:lblAlgn val="ctr"/>
        <c:lblOffset val="100"/>
        <c:noMultiLvlLbl val="0"/>
      </c:catAx>
      <c:valAx>
        <c:axId val="93149882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49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13</xdr:row>
      <xdr:rowOff>97365</xdr:rowOff>
    </xdr:from>
    <xdr:to>
      <xdr:col>1</xdr:col>
      <xdr:colOff>908050</xdr:colOff>
      <xdr:row>27</xdr:row>
      <xdr:rowOff>57360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69D664-D905-BEF6-11A8-E070AADF88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400048</xdr:colOff>
      <xdr:row>13</xdr:row>
      <xdr:rowOff>97365</xdr:rowOff>
    </xdr:from>
    <xdr:to>
      <xdr:col>5</xdr:col>
      <xdr:colOff>1165750</xdr:colOff>
      <xdr:row>27</xdr:row>
      <xdr:rowOff>59453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C2B0025-5711-3764-2039-688487A73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931531</xdr:colOff>
      <xdr:row>13</xdr:row>
      <xdr:rowOff>97365</xdr:rowOff>
    </xdr:from>
    <xdr:to>
      <xdr:col>10</xdr:col>
      <xdr:colOff>403737</xdr:colOff>
      <xdr:row>27</xdr:row>
      <xdr:rowOff>59453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5D1BA9E-E779-4200-8D0C-1FEEAC0D6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627380</xdr:colOff>
      <xdr:row>28</xdr:row>
      <xdr:rowOff>20955</xdr:rowOff>
    </xdr:from>
    <xdr:to>
      <xdr:col>2</xdr:col>
      <xdr:colOff>358560</xdr:colOff>
      <xdr:row>41</xdr:row>
      <xdr:rowOff>162960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1AE8800-84BA-353D-D01A-D29C1AD2F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746759</xdr:colOff>
      <xdr:row>28</xdr:row>
      <xdr:rowOff>20955</xdr:rowOff>
    </xdr:from>
    <xdr:to>
      <xdr:col>5</xdr:col>
      <xdr:colOff>1504841</xdr:colOff>
      <xdr:row>41</xdr:row>
      <xdr:rowOff>173066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9DE9F65-2413-C3DF-A838-B5B6B7D62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0.32104</cdr:x>
      <cdr:y>0.08263</cdr:y>
    </cdr:from>
    <cdr:to>
      <cdr:x>0.72104</cdr:x>
      <cdr:y>0.16173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6B2499E-DC98-0F51-4934-817E6D461F29}"/>
            </a:ext>
          </a:extLst>
        </cdr:cNvPr>
        <cdr:cNvSpPr txBox="1"/>
      </cdr:nvSpPr>
      <cdr:spPr>
        <a:xfrm xmlns:a="http://schemas.openxmlformats.org/drawingml/2006/main">
          <a:off x="1517945" y="203858"/>
          <a:ext cx="1891285" cy="1951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000">
              <a:solidFill>
                <a:schemeClr val="bg1">
                  <a:lumMod val="50000"/>
                </a:schemeClr>
              </a:solidFill>
            </a:rPr>
            <a:t>EURm and % of revenue</a:t>
          </a:r>
          <a:endParaRPr lang="en-US" sz="1000" kern="1200">
            <a:solidFill>
              <a:schemeClr val="bg1">
                <a:lumMod val="50000"/>
              </a:schemeClr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0.33139</cdr:x>
      <cdr:y>0.08599</cdr:y>
    </cdr:from>
    <cdr:to>
      <cdr:x>0.66278</cdr:x>
      <cdr:y>0.17961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FE6C975-DE9C-CA03-412F-37CDB453DCBC}"/>
            </a:ext>
          </a:extLst>
        </cdr:cNvPr>
        <cdr:cNvSpPr txBox="1"/>
      </cdr:nvSpPr>
      <cdr:spPr>
        <a:xfrm xmlns:a="http://schemas.openxmlformats.org/drawingml/2006/main">
          <a:off x="1514474" y="236220"/>
          <a:ext cx="1514475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000">
              <a:solidFill>
                <a:schemeClr val="bg2">
                  <a:lumMod val="50000"/>
                </a:schemeClr>
              </a:solidFill>
            </a:rPr>
            <a:t>EURm and % of revenue</a:t>
          </a:r>
          <a:endParaRPr lang="en-US" sz="1000" kern="1200">
            <a:solidFill>
              <a:schemeClr val="bg2">
                <a:lumMod val="50000"/>
              </a:schemeClr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0.32751</cdr:x>
      <cdr:y>0.07441</cdr:y>
    </cdr:from>
    <cdr:to>
      <cdr:x>0.6521</cdr:x>
      <cdr:y>0.1822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FD0D048-63AB-BF35-A4B2-EF3F80AFFF6B}"/>
            </a:ext>
          </a:extLst>
        </cdr:cNvPr>
        <cdr:cNvSpPr txBox="1"/>
      </cdr:nvSpPr>
      <cdr:spPr>
        <a:xfrm xmlns:a="http://schemas.openxmlformats.org/drawingml/2006/main">
          <a:off x="1499235" y="203835"/>
          <a:ext cx="1485900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000">
              <a:solidFill>
                <a:schemeClr val="bg2">
                  <a:lumMod val="50000"/>
                </a:schemeClr>
              </a:solidFill>
            </a:rPr>
            <a:t>EURm and % of revenue</a:t>
          </a:r>
          <a:endParaRPr lang="en-US" sz="1000" kern="1200">
            <a:solidFill>
              <a:schemeClr val="bg2">
                <a:lumMod val="50000"/>
              </a:schemeClr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59531</xdr:colOff>
      <xdr:row>4</xdr:row>
      <xdr:rowOff>76200</xdr:rowOff>
    </xdr:from>
    <xdr:to>
      <xdr:col>8</xdr:col>
      <xdr:colOff>90964</xdr:colOff>
      <xdr:row>9</xdr:row>
      <xdr:rowOff>114300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B98F663-8A20-120C-CBE4-837FE94093AE}"/>
            </a:ext>
          </a:extLst>
        </xdr:cNvPr>
        <xdr:cNvSpPr/>
      </xdr:nvSpPr>
      <xdr:spPr>
        <a:xfrm>
          <a:off x="3107531" y="904875"/>
          <a:ext cx="1860233" cy="94297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>
              <a:solidFill>
                <a:schemeClr val="bg2">
                  <a:lumMod val="50000"/>
                </a:schemeClr>
              </a:solidFill>
            </a:rPr>
            <a:t>Organic Growth FY 2024/25</a:t>
          </a:r>
        </a:p>
        <a:p>
          <a:pPr algn="ctr"/>
          <a:endParaRPr lang="en-US">
            <a:solidFill>
              <a:schemeClr val="bg2">
                <a:lumMod val="50000"/>
              </a:schemeClr>
            </a:solidFill>
          </a:endParaRPr>
        </a:p>
        <a:p>
          <a:pPr algn="ctr"/>
          <a:r>
            <a:rPr lang="en-US" sz="1600" b="1">
              <a:solidFill>
                <a:srgbClr val="7000FF"/>
              </a:solidFill>
            </a:rPr>
            <a:t>0%</a:t>
          </a:r>
          <a:endParaRPr lang="en-US" sz="1100" b="1">
            <a:solidFill>
              <a:srgbClr val="7000FF"/>
            </a:solidFill>
          </a:endParaRPr>
        </a:p>
      </xdr:txBody>
    </xdr:sp>
    <xdr:clientData/>
  </xdr:twoCellAnchor>
  <xdr:twoCellAnchor>
    <xdr:from>
      <xdr:col>8</xdr:col>
      <xdr:colOff>455295</xdr:colOff>
      <xdr:row>4</xdr:row>
      <xdr:rowOff>76200</xdr:rowOff>
    </xdr:from>
    <xdr:to>
      <xdr:col>11</xdr:col>
      <xdr:colOff>567690</xdr:colOff>
      <xdr:row>9</xdr:row>
      <xdr:rowOff>114300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EF216ADF-188B-73B7-C769-F6738B1496C6}"/>
            </a:ext>
          </a:extLst>
        </xdr:cNvPr>
        <xdr:cNvSpPr/>
      </xdr:nvSpPr>
      <xdr:spPr>
        <a:xfrm>
          <a:off x="5332095" y="904875"/>
          <a:ext cx="1941195" cy="94297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>
              <a:solidFill>
                <a:schemeClr val="bg2">
                  <a:lumMod val="50000"/>
                </a:schemeClr>
              </a:solidFill>
            </a:rPr>
            <a:t>Reported EBITDA FY 2024/25</a:t>
          </a:r>
        </a:p>
        <a:p>
          <a:pPr algn="ctr"/>
          <a:endParaRPr lang="en-US">
            <a:solidFill>
              <a:schemeClr val="bg2">
                <a:lumMod val="50000"/>
              </a:schemeClr>
            </a:solidFill>
          </a:endParaRPr>
        </a:p>
        <a:p>
          <a:pPr algn="ctr"/>
          <a:r>
            <a:rPr lang="en-US" sz="1600" b="1">
              <a:solidFill>
                <a:srgbClr val="7000FF"/>
              </a:solidFill>
            </a:rPr>
            <a:t>EUR 433m</a:t>
          </a:r>
          <a:endParaRPr lang="en-US" sz="1100" b="1">
            <a:solidFill>
              <a:srgbClr val="7000FF"/>
            </a:solidFill>
          </a:endParaRPr>
        </a:p>
      </xdr:txBody>
    </xdr:sp>
    <xdr:clientData/>
  </xdr:twoCellAnchor>
  <xdr:twoCellAnchor>
    <xdr:from>
      <xdr:col>12</xdr:col>
      <xdr:colOff>322421</xdr:colOff>
      <xdr:row>4</xdr:row>
      <xdr:rowOff>76200</xdr:rowOff>
    </xdr:from>
    <xdr:to>
      <xdr:col>15</xdr:col>
      <xdr:colOff>338613</xdr:colOff>
      <xdr:row>9</xdr:row>
      <xdr:rowOff>114300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4DC0E604-2D23-FCE5-6523-6513176ABF25}"/>
            </a:ext>
          </a:extLst>
        </xdr:cNvPr>
        <xdr:cNvSpPr/>
      </xdr:nvSpPr>
      <xdr:spPr>
        <a:xfrm>
          <a:off x="7637621" y="904875"/>
          <a:ext cx="1844992" cy="94297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>
              <a:solidFill>
                <a:schemeClr val="bg2">
                  <a:lumMod val="50000"/>
                </a:schemeClr>
              </a:solidFill>
            </a:rPr>
            <a:t>Free Cash Flow FY 2024/25</a:t>
          </a:r>
        </a:p>
        <a:p>
          <a:pPr algn="ctr"/>
          <a:endParaRPr lang="en-US">
            <a:solidFill>
              <a:schemeClr val="bg2">
                <a:lumMod val="50000"/>
              </a:schemeClr>
            </a:solidFill>
          </a:endParaRPr>
        </a:p>
        <a:p>
          <a:pPr algn="ctr"/>
          <a:r>
            <a:rPr lang="en-US" sz="1600" b="1">
              <a:solidFill>
                <a:srgbClr val="7000FF"/>
              </a:solidFill>
            </a:rPr>
            <a:t>EUR 294m</a:t>
          </a:r>
          <a:endParaRPr lang="en-US" sz="1100" b="1">
            <a:solidFill>
              <a:srgbClr val="7000FF"/>
            </a:solidFill>
          </a:endParaRPr>
        </a:p>
      </xdr:txBody>
    </xdr:sp>
    <xdr:clientData/>
  </xdr:twoCellAnchor>
  <xdr:twoCellAnchor>
    <xdr:from>
      <xdr:col>16</xdr:col>
      <xdr:colOff>97154</xdr:colOff>
      <xdr:row>4</xdr:row>
      <xdr:rowOff>76200</xdr:rowOff>
    </xdr:from>
    <xdr:to>
      <xdr:col>19</xdr:col>
      <xdr:colOff>281940</xdr:colOff>
      <xdr:row>9</xdr:row>
      <xdr:rowOff>116205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D695F75-1563-8B6C-4A8C-C36D37E63AB4}"/>
            </a:ext>
          </a:extLst>
        </xdr:cNvPr>
        <xdr:cNvSpPr/>
      </xdr:nvSpPr>
      <xdr:spPr>
        <a:xfrm>
          <a:off x="9850754" y="904875"/>
          <a:ext cx="2013586" cy="94488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>
              <a:solidFill>
                <a:schemeClr val="bg2">
                  <a:lumMod val="50000"/>
                </a:schemeClr>
              </a:solidFill>
            </a:rPr>
            <a:t>Net Debt / EBITDA FY 2024/25</a:t>
          </a:r>
        </a:p>
        <a:p>
          <a:pPr algn="ctr"/>
          <a:endParaRPr lang="en-US">
            <a:solidFill>
              <a:schemeClr val="bg2">
                <a:lumMod val="50000"/>
              </a:schemeClr>
            </a:solidFill>
          </a:endParaRPr>
        </a:p>
        <a:p>
          <a:pPr algn="ctr"/>
          <a:r>
            <a:rPr lang="en-US" sz="1600" b="1">
              <a:solidFill>
                <a:srgbClr val="7000FF"/>
              </a:solidFill>
            </a:rPr>
            <a:t>6.5x</a:t>
          </a:r>
          <a:endParaRPr lang="en-US" sz="1100" b="1">
            <a:solidFill>
              <a:srgbClr val="7000FF"/>
            </a:solidFill>
          </a:endParaRPr>
        </a:p>
      </xdr:txBody>
    </xdr:sp>
    <xdr:clientData/>
  </xdr:twoCellAnchor>
  <xdr:twoCellAnchor>
    <xdr:from>
      <xdr:col>1</xdr:col>
      <xdr:colOff>323849</xdr:colOff>
      <xdr:row>4</xdr:row>
      <xdr:rowOff>76200</xdr:rowOff>
    </xdr:from>
    <xdr:to>
      <xdr:col>4</xdr:col>
      <xdr:colOff>277310</xdr:colOff>
      <xdr:row>9</xdr:row>
      <xdr:rowOff>116205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A64EF84C-4944-F796-9D46-AC9C343539F2}"/>
            </a:ext>
          </a:extLst>
        </xdr:cNvPr>
        <xdr:cNvSpPr/>
      </xdr:nvSpPr>
      <xdr:spPr>
        <a:xfrm>
          <a:off x="938754" y="908130"/>
          <a:ext cx="1798176" cy="944278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bg2">
                  <a:lumMod val="50000"/>
                </a:schemeClr>
              </a:solidFill>
            </a:rPr>
            <a:t>Revenue FY 2024/25</a:t>
          </a:r>
        </a:p>
        <a:p>
          <a:pPr algn="ctr"/>
          <a:endParaRPr lang="en-US">
            <a:solidFill>
              <a:schemeClr val="bg2">
                <a:lumMod val="50000"/>
              </a:schemeClr>
            </a:solidFill>
          </a:endParaRPr>
        </a:p>
        <a:p>
          <a:pPr algn="ctr"/>
          <a:r>
            <a:rPr lang="en-US">
              <a:solidFill>
                <a:schemeClr val="bg2">
                  <a:lumMod val="50000"/>
                </a:schemeClr>
              </a:solidFill>
            </a:rPr>
            <a:t> </a:t>
          </a:r>
          <a:r>
            <a:rPr lang="en-US" sz="1600" b="1">
              <a:solidFill>
                <a:srgbClr val="7000FF"/>
              </a:solidFill>
            </a:rPr>
            <a:t>EUR 2,579m</a:t>
          </a:r>
          <a:endParaRPr lang="en-US" b="1">
            <a:solidFill>
              <a:srgbClr val="7000FF"/>
            </a:solidFill>
          </a:endParaRPr>
        </a:p>
      </xdr:txBody>
    </xdr:sp>
    <xdr:clientData/>
  </xdr:twoCellAnchor>
  <xdr:twoCellAnchor>
    <xdr:from>
      <xdr:col>1</xdr:col>
      <xdr:colOff>0</xdr:colOff>
      <xdr:row>14</xdr:row>
      <xdr:rowOff>41909</xdr:rowOff>
    </xdr:from>
    <xdr:to>
      <xdr:col>7</xdr:col>
      <xdr:colOff>561128</xdr:colOff>
      <xdr:row>27</xdr:row>
      <xdr:rowOff>174624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2637F95-6508-48FD-B299-ADE9217B8F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21165</xdr:colOff>
      <xdr:row>14</xdr:row>
      <xdr:rowOff>41909</xdr:rowOff>
    </xdr:from>
    <xdr:to>
      <xdr:col>15</xdr:col>
      <xdr:colOff>590017</xdr:colOff>
      <xdr:row>27</xdr:row>
      <xdr:rowOff>173965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710480E-ED05-4436-BE1E-D178D4426D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501213</xdr:colOff>
      <xdr:row>30</xdr:row>
      <xdr:rowOff>21802</xdr:rowOff>
    </xdr:from>
    <xdr:to>
      <xdr:col>7</xdr:col>
      <xdr:colOff>444801</xdr:colOff>
      <xdr:row>43</xdr:row>
      <xdr:rowOff>151952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CB09DB3-F2B4-4EE1-B208-AB6FCC9D41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345439</xdr:colOff>
      <xdr:row>30</xdr:row>
      <xdr:rowOff>21802</xdr:rowOff>
    </xdr:from>
    <xdr:to>
      <xdr:col>16</xdr:col>
      <xdr:colOff>305432</xdr:colOff>
      <xdr:row>43</xdr:row>
      <xdr:rowOff>160419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F94DB9A-F2EB-42FF-B1CF-F03C81C4AB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17780</xdr:colOff>
      <xdr:row>30</xdr:row>
      <xdr:rowOff>21802</xdr:rowOff>
    </xdr:from>
    <xdr:to>
      <xdr:col>24</xdr:col>
      <xdr:colOff>600390</xdr:colOff>
      <xdr:row>43</xdr:row>
      <xdr:rowOff>164810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3816596-6A0B-46AE-9316-8DEBC4B95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0.32104</cdr:x>
      <cdr:y>0.08263</cdr:y>
    </cdr:from>
    <cdr:to>
      <cdr:x>0.72104</cdr:x>
      <cdr:y>0.16173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6B2499E-DC98-0F51-4934-817E6D461F29}"/>
            </a:ext>
          </a:extLst>
        </cdr:cNvPr>
        <cdr:cNvSpPr txBox="1"/>
      </cdr:nvSpPr>
      <cdr:spPr>
        <a:xfrm xmlns:a="http://schemas.openxmlformats.org/drawingml/2006/main">
          <a:off x="1517945" y="203858"/>
          <a:ext cx="1891285" cy="1951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000">
              <a:solidFill>
                <a:schemeClr val="bg1">
                  <a:lumMod val="50000"/>
                </a:schemeClr>
              </a:solidFill>
            </a:rPr>
            <a:t>EURm and % of revenue</a:t>
          </a:r>
          <a:endParaRPr lang="en-US" sz="1000" kern="1200">
            <a:solidFill>
              <a:schemeClr val="bg1">
                <a:lumMod val="50000"/>
              </a:schemeClr>
            </a:solidFill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0.33139</cdr:x>
      <cdr:y>0.08599</cdr:y>
    </cdr:from>
    <cdr:to>
      <cdr:x>0.66278</cdr:x>
      <cdr:y>0.17961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FE6C975-DE9C-CA03-412F-37CDB453DCBC}"/>
            </a:ext>
          </a:extLst>
        </cdr:cNvPr>
        <cdr:cNvSpPr txBox="1"/>
      </cdr:nvSpPr>
      <cdr:spPr>
        <a:xfrm xmlns:a="http://schemas.openxmlformats.org/drawingml/2006/main">
          <a:off x="1514474" y="236220"/>
          <a:ext cx="1514475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000">
              <a:solidFill>
                <a:schemeClr val="bg2">
                  <a:lumMod val="50000"/>
                </a:schemeClr>
              </a:solidFill>
            </a:rPr>
            <a:t>EURm and % of revenue</a:t>
          </a:r>
          <a:endParaRPr lang="en-US" sz="1000" kern="1200">
            <a:solidFill>
              <a:schemeClr val="bg2">
                <a:lumMod val="50000"/>
              </a:schemeClr>
            </a:solidFill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0.32751</cdr:x>
      <cdr:y>0.07441</cdr:y>
    </cdr:from>
    <cdr:to>
      <cdr:x>0.6521</cdr:x>
      <cdr:y>0.1822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FD0D048-63AB-BF35-A4B2-EF3F80AFFF6B}"/>
            </a:ext>
          </a:extLst>
        </cdr:cNvPr>
        <cdr:cNvSpPr txBox="1"/>
      </cdr:nvSpPr>
      <cdr:spPr>
        <a:xfrm xmlns:a="http://schemas.openxmlformats.org/drawingml/2006/main">
          <a:off x="1499235" y="203835"/>
          <a:ext cx="1485900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000">
              <a:solidFill>
                <a:schemeClr val="bg2">
                  <a:lumMod val="50000"/>
                </a:schemeClr>
              </a:solidFill>
            </a:rPr>
            <a:t>EURm and % of revenue</a:t>
          </a:r>
          <a:endParaRPr lang="en-US" sz="1000" kern="1200">
            <a:solidFill>
              <a:schemeClr val="bg2">
                <a:lumMod val="50000"/>
              </a:schemeClr>
            </a:solidFill>
          </a:endParaRP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0B76B6-1CF9-44AA-8D14-2F92A3039A18}" name="tbl_raw_key_figures" displayName="tbl_raw_key_figures" ref="A4:F33" totalsRowShown="0" headerRowDxfId="8" dataDxfId="6" headerRowBorderDxfId="7">
  <tableColumns count="6">
    <tableColumn id="1" xr3:uid="{9B6306CB-BD63-46D1-8D54-0BE0AA807B76}" name="Metric" dataDxfId="5"/>
    <tableColumn id="2" xr3:uid="{E1B26F3C-ACE5-4DAB-8C56-EF6583CB65C5}" name="2020/21" dataDxfId="4"/>
    <tableColumn id="3" xr3:uid="{61257BAC-AC96-4CCF-8A73-D89B738E5E4F}" name="2021/22" dataDxfId="3"/>
    <tableColumn id="4" xr3:uid="{0A6729F0-F087-46A2-B780-E0F351A89798}" name="2022/23" dataDxfId="2"/>
    <tableColumn id="5" xr3:uid="{9690F90D-F9AF-437F-B249-A33004400D85}" name="2023/24" dataDxfId="1"/>
    <tableColumn id="6" xr3:uid="{3DC0825E-4DA4-46D2-9B2B-6C14D99C9B8A}" name="2024/2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C3CFB-FE6B-46BF-AA2D-8528AA03E636}">
  <dimension ref="A1:H33"/>
  <sheetViews>
    <sheetView tabSelected="1" workbookViewId="0">
      <selection activeCell="G10" sqref="G10"/>
    </sheetView>
  </sheetViews>
  <sheetFormatPr defaultRowHeight="14.4" x14ac:dyDescent="0.3"/>
  <cols>
    <col min="1" max="1" width="130.5546875" style="3" bestFit="1" customWidth="1"/>
    <col min="2" max="16384" width="8.88671875" style="3"/>
  </cols>
  <sheetData>
    <row r="1" spans="1:8" customFormat="1" ht="22.8" customHeight="1" x14ac:dyDescent="0.4">
      <c r="A1" s="19" t="s">
        <v>78</v>
      </c>
      <c r="B1" s="3"/>
      <c r="C1" s="3"/>
      <c r="D1" s="3"/>
      <c r="E1" s="3"/>
      <c r="F1" s="3"/>
      <c r="G1" s="3"/>
    </row>
    <row r="3" spans="1:8" customFormat="1" ht="22.2" customHeight="1" x14ac:dyDescent="0.3">
      <c r="A3" s="18" t="s">
        <v>72</v>
      </c>
      <c r="B3" s="6"/>
      <c r="C3" s="6"/>
      <c r="D3" s="6"/>
      <c r="E3" s="6"/>
      <c r="F3" s="6"/>
      <c r="G3" s="3"/>
      <c r="H3" s="3"/>
    </row>
    <row r="4" spans="1:8" x14ac:dyDescent="0.3">
      <c r="A4" s="3" t="s">
        <v>61</v>
      </c>
    </row>
    <row r="6" spans="1:8" customFormat="1" ht="22.2" customHeight="1" x14ac:dyDescent="0.3">
      <c r="A6" s="18" t="s">
        <v>73</v>
      </c>
      <c r="B6" s="6"/>
      <c r="C6" s="6"/>
      <c r="D6" s="6"/>
      <c r="E6" s="6"/>
      <c r="F6" s="6"/>
      <c r="G6" s="3"/>
      <c r="H6" s="3"/>
    </row>
    <row r="7" spans="1:8" x14ac:dyDescent="0.3">
      <c r="A7" s="3" t="s">
        <v>62</v>
      </c>
    </row>
    <row r="9" spans="1:8" customFormat="1" ht="22.2" customHeight="1" x14ac:dyDescent="0.3">
      <c r="A9" s="18" t="s">
        <v>74</v>
      </c>
      <c r="B9" s="6"/>
      <c r="C9" s="6"/>
      <c r="D9" s="6"/>
      <c r="E9" s="6"/>
      <c r="F9" s="6"/>
      <c r="G9" s="3"/>
      <c r="H9" s="3"/>
    </row>
    <row r="10" spans="1:8" x14ac:dyDescent="0.3">
      <c r="A10" s="3" t="s">
        <v>63</v>
      </c>
    </row>
    <row r="12" spans="1:8" customFormat="1" ht="22.2" customHeight="1" x14ac:dyDescent="0.3">
      <c r="A12" s="18" t="s">
        <v>75</v>
      </c>
      <c r="B12" s="6"/>
      <c r="C12" s="6"/>
      <c r="D12" s="6"/>
      <c r="E12" s="6"/>
      <c r="F12" s="6"/>
      <c r="G12" s="3"/>
      <c r="H12" s="3"/>
    </row>
    <row r="13" spans="1:8" x14ac:dyDescent="0.3">
      <c r="A13" s="3" t="s">
        <v>64</v>
      </c>
    </row>
    <row r="15" spans="1:8" customFormat="1" ht="22.2" customHeight="1" x14ac:dyDescent="0.3">
      <c r="A15" s="18" t="s">
        <v>76</v>
      </c>
      <c r="B15" s="6"/>
      <c r="C15" s="6"/>
      <c r="D15" s="6"/>
      <c r="E15" s="6"/>
      <c r="F15" s="6"/>
      <c r="G15" s="3"/>
      <c r="H15" s="3"/>
    </row>
    <row r="16" spans="1:8" x14ac:dyDescent="0.3">
      <c r="A16" s="3" t="s">
        <v>39</v>
      </c>
    </row>
    <row r="17" spans="1:1" x14ac:dyDescent="0.3">
      <c r="A17" s="3" t="s">
        <v>40</v>
      </c>
    </row>
    <row r="18" spans="1:1" x14ac:dyDescent="0.3">
      <c r="A18" s="3" t="s">
        <v>65</v>
      </c>
    </row>
    <row r="19" spans="1:1" x14ac:dyDescent="0.3">
      <c r="A19" s="3" t="s">
        <v>42</v>
      </c>
    </row>
    <row r="20" spans="1:1" x14ac:dyDescent="0.3">
      <c r="A20" s="3" t="s">
        <v>43</v>
      </c>
    </row>
    <row r="21" spans="1:1" x14ac:dyDescent="0.3">
      <c r="A21" s="3" t="s">
        <v>44</v>
      </c>
    </row>
    <row r="22" spans="1:1" x14ac:dyDescent="0.3">
      <c r="A22" s="3" t="s">
        <v>45</v>
      </c>
    </row>
    <row r="23" spans="1:1" x14ac:dyDescent="0.3">
      <c r="A23" s="3" t="s">
        <v>59</v>
      </c>
    </row>
    <row r="24" spans="1:1" x14ac:dyDescent="0.3">
      <c r="A24" s="3" t="s">
        <v>56</v>
      </c>
    </row>
    <row r="25" spans="1:1" x14ac:dyDescent="0.3">
      <c r="A25" s="3" t="s">
        <v>66</v>
      </c>
    </row>
    <row r="26" spans="1:1" x14ac:dyDescent="0.3">
      <c r="A26" s="3" t="s">
        <v>67</v>
      </c>
    </row>
    <row r="27" spans="1:1" x14ac:dyDescent="0.3">
      <c r="A27" s="3" t="s">
        <v>49</v>
      </c>
    </row>
    <row r="29" spans="1:1" x14ac:dyDescent="0.3">
      <c r="A29" s="17" t="s">
        <v>77</v>
      </c>
    </row>
    <row r="30" spans="1:1" x14ac:dyDescent="0.3">
      <c r="A30" s="3" t="s">
        <v>68</v>
      </c>
    </row>
    <row r="31" spans="1:1" x14ac:dyDescent="0.3">
      <c r="A31" s="3" t="s">
        <v>69</v>
      </c>
    </row>
    <row r="32" spans="1:1" x14ac:dyDescent="0.3">
      <c r="A32" s="3" t="s">
        <v>70</v>
      </c>
    </row>
    <row r="33" spans="1:1" x14ac:dyDescent="0.3">
      <c r="A33" s="3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showGridLines="0" zoomScale="90" zoomScaleNormal="90" workbookViewId="0">
      <selection activeCell="D19" sqref="D19"/>
    </sheetView>
  </sheetViews>
  <sheetFormatPr defaultColWidth="20.77734375" defaultRowHeight="14.4" x14ac:dyDescent="0.3"/>
  <cols>
    <col min="1" max="1" width="36.109375" customWidth="1"/>
  </cols>
  <sheetData>
    <row r="1" spans="1:8" ht="22.8" customHeight="1" x14ac:dyDescent="0.4">
      <c r="A1" s="4" t="s">
        <v>32</v>
      </c>
      <c r="B1" s="3"/>
      <c r="C1" s="3"/>
      <c r="D1" s="3"/>
      <c r="E1" s="3"/>
      <c r="F1" s="3"/>
      <c r="G1" s="3"/>
    </row>
    <row r="2" spans="1:8" ht="19.2" customHeight="1" x14ac:dyDescent="0.3">
      <c r="A2" s="7" t="s">
        <v>33</v>
      </c>
      <c r="B2" s="3"/>
      <c r="C2" s="3"/>
      <c r="D2" s="3"/>
      <c r="E2" s="3"/>
      <c r="F2" s="3"/>
      <c r="G2" s="3"/>
      <c r="H2" s="3"/>
    </row>
    <row r="3" spans="1:8" ht="11.4" customHeight="1" x14ac:dyDescent="0.3">
      <c r="A3" s="3"/>
      <c r="B3" s="3"/>
      <c r="C3" s="3"/>
      <c r="D3" s="3"/>
      <c r="E3" s="3"/>
      <c r="F3" s="3"/>
      <c r="G3" s="3"/>
      <c r="H3" s="3"/>
    </row>
    <row r="4" spans="1:8" ht="21.6" customHeight="1" x14ac:dyDescent="0.3">
      <c r="A4" s="20" t="s">
        <v>0</v>
      </c>
      <c r="B4" s="21" t="s">
        <v>1</v>
      </c>
      <c r="C4" s="21" t="s">
        <v>2</v>
      </c>
      <c r="D4" s="21" t="s">
        <v>3</v>
      </c>
      <c r="E4" s="21" t="s">
        <v>4</v>
      </c>
      <c r="F4" s="21" t="s">
        <v>5</v>
      </c>
      <c r="G4" s="5"/>
      <c r="H4" s="3"/>
    </row>
    <row r="5" spans="1:8" ht="22.2" customHeight="1" x14ac:dyDescent="0.3">
      <c r="A5" s="18" t="s">
        <v>34</v>
      </c>
      <c r="B5" s="6"/>
      <c r="C5" s="6"/>
      <c r="D5" s="6"/>
      <c r="E5" s="6"/>
      <c r="F5" s="6"/>
      <c r="G5" s="3"/>
      <c r="H5" s="3"/>
    </row>
    <row r="6" spans="1:8" ht="15" customHeight="1" x14ac:dyDescent="0.3">
      <c r="A6" s="1" t="s">
        <v>6</v>
      </c>
      <c r="B6" s="2">
        <v>2053</v>
      </c>
      <c r="C6" s="2">
        <v>2351</v>
      </c>
      <c r="D6" s="2">
        <v>2465</v>
      </c>
      <c r="E6" s="2">
        <v>2637</v>
      </c>
      <c r="F6" s="2">
        <v>2579</v>
      </c>
      <c r="G6" s="3"/>
      <c r="H6" s="3"/>
    </row>
    <row r="7" spans="1:8" ht="15" customHeight="1" x14ac:dyDescent="0.3">
      <c r="A7" s="1" t="s">
        <v>7</v>
      </c>
      <c r="B7" s="2">
        <v>1202</v>
      </c>
      <c r="C7" s="2">
        <v>1376</v>
      </c>
      <c r="D7" s="2">
        <v>1440</v>
      </c>
      <c r="E7" s="2">
        <v>1496</v>
      </c>
      <c r="F7" s="2">
        <v>1619</v>
      </c>
      <c r="G7" s="3"/>
      <c r="H7" s="3"/>
    </row>
    <row r="8" spans="1:8" ht="15" customHeight="1" x14ac:dyDescent="0.3">
      <c r="A8" s="1" t="s">
        <v>8</v>
      </c>
      <c r="B8" s="2" t="s">
        <v>9</v>
      </c>
      <c r="C8" s="2" t="s">
        <v>9</v>
      </c>
      <c r="D8" s="2">
        <v>376</v>
      </c>
      <c r="E8" s="2">
        <v>440</v>
      </c>
      <c r="F8" s="2">
        <v>456</v>
      </c>
      <c r="G8" s="3"/>
      <c r="H8" s="3"/>
    </row>
    <row r="9" spans="1:8" ht="15" customHeight="1" x14ac:dyDescent="0.3">
      <c r="A9" s="1" t="s">
        <v>10</v>
      </c>
      <c r="B9" s="2">
        <v>385</v>
      </c>
      <c r="C9" s="2">
        <v>382</v>
      </c>
      <c r="D9" s="2">
        <v>408</v>
      </c>
      <c r="E9" s="2" t="s">
        <v>9</v>
      </c>
      <c r="F9" s="2" t="s">
        <v>9</v>
      </c>
      <c r="G9" s="3"/>
      <c r="H9" s="3"/>
    </row>
    <row r="10" spans="1:8" ht="15" customHeight="1" x14ac:dyDescent="0.3">
      <c r="A10" s="1" t="s">
        <v>11</v>
      </c>
      <c r="B10" s="2">
        <v>334</v>
      </c>
      <c r="C10" s="2">
        <v>302</v>
      </c>
      <c r="D10" s="2">
        <v>374</v>
      </c>
      <c r="E10" s="2">
        <v>419</v>
      </c>
      <c r="F10" s="2">
        <v>433</v>
      </c>
      <c r="G10" s="3"/>
      <c r="H10" s="3"/>
    </row>
    <row r="11" spans="1:8" ht="15" customHeight="1" x14ac:dyDescent="0.3">
      <c r="A11" s="1" t="s">
        <v>12</v>
      </c>
      <c r="B11" s="2">
        <v>271</v>
      </c>
      <c r="C11" s="2">
        <v>256</v>
      </c>
      <c r="D11" s="2">
        <v>259</v>
      </c>
      <c r="E11" s="2">
        <v>1403</v>
      </c>
      <c r="F11" s="2">
        <v>147</v>
      </c>
      <c r="G11" s="3"/>
      <c r="H11" s="3"/>
    </row>
    <row r="12" spans="1:8" ht="15" customHeight="1" x14ac:dyDescent="0.3">
      <c r="A12" s="1" t="s">
        <v>13</v>
      </c>
      <c r="B12" s="2">
        <v>63</v>
      </c>
      <c r="C12" s="2">
        <v>47</v>
      </c>
      <c r="D12" s="2">
        <v>115</v>
      </c>
      <c r="E12" s="2">
        <v>-984</v>
      </c>
      <c r="F12" s="2">
        <v>286</v>
      </c>
      <c r="G12" s="3"/>
      <c r="H12" s="3"/>
    </row>
    <row r="13" spans="1:8" ht="15" customHeight="1" x14ac:dyDescent="0.3">
      <c r="A13" s="1" t="s">
        <v>14</v>
      </c>
      <c r="B13" s="2">
        <v>-190</v>
      </c>
      <c r="C13" s="2">
        <v>-372</v>
      </c>
      <c r="D13" s="2">
        <v>-156</v>
      </c>
      <c r="E13" s="2">
        <v>-437</v>
      </c>
      <c r="F13" s="2">
        <v>-248</v>
      </c>
      <c r="G13" s="3"/>
      <c r="H13" s="3"/>
    </row>
    <row r="14" spans="1:8" ht="15" customHeight="1" x14ac:dyDescent="0.3">
      <c r="A14" s="1" t="s">
        <v>15</v>
      </c>
      <c r="B14" s="2">
        <v>-126</v>
      </c>
      <c r="C14" s="2">
        <v>-325</v>
      </c>
      <c r="D14" s="2">
        <v>-41</v>
      </c>
      <c r="E14" s="2">
        <v>-1421</v>
      </c>
      <c r="F14" s="2">
        <v>38</v>
      </c>
      <c r="G14" s="3"/>
      <c r="H14" s="3"/>
    </row>
    <row r="15" spans="1:8" ht="15" customHeight="1" x14ac:dyDescent="0.3">
      <c r="A15" s="1" t="s">
        <v>16</v>
      </c>
      <c r="B15" s="2">
        <v>-117</v>
      </c>
      <c r="C15" s="2">
        <v>-311</v>
      </c>
      <c r="D15" s="2">
        <v>-52</v>
      </c>
      <c r="E15" s="2">
        <v>-1172</v>
      </c>
      <c r="F15" s="2">
        <v>4</v>
      </c>
      <c r="G15" s="3"/>
      <c r="H15" s="3"/>
    </row>
    <row r="16" spans="1:8" ht="22.2" customHeight="1" x14ac:dyDescent="0.3">
      <c r="A16" s="18" t="s">
        <v>35</v>
      </c>
      <c r="B16" s="14"/>
      <c r="C16" s="14"/>
      <c r="D16" s="14"/>
      <c r="E16" s="14"/>
      <c r="F16" s="14"/>
      <c r="G16" s="3"/>
      <c r="H16" s="3"/>
    </row>
    <row r="17" spans="1:8" ht="15" customHeight="1" x14ac:dyDescent="0.3">
      <c r="A17" s="1" t="s">
        <v>17</v>
      </c>
      <c r="B17" s="2">
        <v>6509</v>
      </c>
      <c r="C17" s="2">
        <v>6579</v>
      </c>
      <c r="D17" s="2">
        <v>6414</v>
      </c>
      <c r="E17" s="2">
        <v>5061</v>
      </c>
      <c r="F17" s="2">
        <v>5080</v>
      </c>
      <c r="G17" s="3"/>
      <c r="H17" s="3"/>
    </row>
    <row r="18" spans="1:8" ht="15" customHeight="1" x14ac:dyDescent="0.3">
      <c r="A18" s="1" t="s">
        <v>18</v>
      </c>
      <c r="B18" s="2">
        <v>3504</v>
      </c>
      <c r="C18" s="2">
        <v>3746</v>
      </c>
      <c r="D18" s="2">
        <v>3610</v>
      </c>
      <c r="E18" s="2">
        <v>3308</v>
      </c>
      <c r="F18" s="2">
        <v>2807</v>
      </c>
      <c r="G18" s="3"/>
      <c r="H18" s="3"/>
    </row>
    <row r="19" spans="1:8" ht="15" customHeight="1" x14ac:dyDescent="0.3">
      <c r="A19" s="1" t="s">
        <v>19</v>
      </c>
      <c r="B19" s="2">
        <v>225</v>
      </c>
      <c r="C19" s="2">
        <v>284</v>
      </c>
      <c r="D19" s="2">
        <v>258</v>
      </c>
      <c r="E19" s="2">
        <v>319</v>
      </c>
      <c r="F19" s="2">
        <v>311</v>
      </c>
      <c r="G19" s="3"/>
      <c r="H19" s="3"/>
    </row>
    <row r="20" spans="1:8" ht="15" customHeight="1" x14ac:dyDescent="0.3">
      <c r="A20" s="1" t="s">
        <v>20</v>
      </c>
      <c r="B20" s="2">
        <v>1542</v>
      </c>
      <c r="C20" s="2">
        <v>1393</v>
      </c>
      <c r="D20" s="2">
        <v>1347</v>
      </c>
      <c r="E20" s="2">
        <v>616</v>
      </c>
      <c r="F20" s="2">
        <v>1174</v>
      </c>
      <c r="G20" s="3"/>
      <c r="H20" s="3"/>
    </row>
    <row r="21" spans="1:8" ht="23.4" customHeight="1" x14ac:dyDescent="0.3">
      <c r="A21" s="18" t="s">
        <v>36</v>
      </c>
      <c r="B21" s="13"/>
      <c r="C21" s="13"/>
      <c r="D21" s="13"/>
      <c r="E21" s="13"/>
      <c r="F21" s="13"/>
      <c r="G21" s="3"/>
      <c r="H21" s="3"/>
    </row>
    <row r="22" spans="1:8" ht="15" customHeight="1" x14ac:dyDescent="0.3">
      <c r="A22" s="1" t="s">
        <v>21</v>
      </c>
      <c r="B22" s="2">
        <v>318</v>
      </c>
      <c r="C22" s="2">
        <v>248</v>
      </c>
      <c r="D22" s="2">
        <v>353</v>
      </c>
      <c r="E22" s="2">
        <v>293</v>
      </c>
      <c r="F22" s="2">
        <v>388</v>
      </c>
      <c r="G22" s="3"/>
      <c r="H22" s="3"/>
    </row>
    <row r="23" spans="1:8" ht="15" customHeight="1" x14ac:dyDescent="0.3">
      <c r="A23" s="1" t="s">
        <v>22</v>
      </c>
      <c r="B23" s="2">
        <v>262</v>
      </c>
      <c r="C23" s="2">
        <v>203</v>
      </c>
      <c r="D23" s="2">
        <v>251</v>
      </c>
      <c r="E23" s="2">
        <v>205</v>
      </c>
      <c r="F23" s="2">
        <v>294</v>
      </c>
      <c r="G23" s="3"/>
      <c r="H23" s="3"/>
    </row>
    <row r="24" spans="1:8" ht="15" customHeight="1" x14ac:dyDescent="0.3">
      <c r="A24" s="1" t="s">
        <v>23</v>
      </c>
      <c r="B24" s="2">
        <v>11441</v>
      </c>
      <c r="C24" s="2">
        <v>11980</v>
      </c>
      <c r="D24" s="2">
        <v>12528</v>
      </c>
      <c r="E24" s="2">
        <v>12679</v>
      </c>
      <c r="F24" s="2">
        <v>12534</v>
      </c>
      <c r="G24" s="3"/>
      <c r="H24" s="3"/>
    </row>
    <row r="25" spans="1:8" ht="22.2" customHeight="1" x14ac:dyDescent="0.3">
      <c r="A25" s="18" t="s">
        <v>37</v>
      </c>
      <c r="B25" s="6"/>
      <c r="C25" s="6"/>
      <c r="D25" s="6"/>
      <c r="E25" s="6"/>
      <c r="F25" s="6"/>
      <c r="G25" s="3"/>
      <c r="H25" s="3"/>
    </row>
    <row r="26" spans="1:8" ht="15" customHeight="1" x14ac:dyDescent="0.3">
      <c r="A26" s="1" t="s">
        <v>24</v>
      </c>
      <c r="B26" s="2">
        <v>22</v>
      </c>
      <c r="C26" s="2">
        <v>7</v>
      </c>
      <c r="D26" s="2">
        <v>7</v>
      </c>
      <c r="E26" s="2">
        <v>10</v>
      </c>
      <c r="F26" s="2">
        <v>0</v>
      </c>
      <c r="G26" s="3"/>
      <c r="H26" s="3"/>
    </row>
    <row r="27" spans="1:8" ht="15" customHeight="1" x14ac:dyDescent="0.3">
      <c r="A27" s="1" t="s">
        <v>25</v>
      </c>
      <c r="B27" s="2">
        <v>59</v>
      </c>
      <c r="C27" s="2">
        <v>59</v>
      </c>
      <c r="D27" s="2">
        <v>58</v>
      </c>
      <c r="E27" s="2">
        <v>57</v>
      </c>
      <c r="F27" s="2">
        <v>63</v>
      </c>
      <c r="G27" s="3"/>
      <c r="H27" s="3"/>
    </row>
    <row r="28" spans="1:8" ht="15" customHeight="1" x14ac:dyDescent="0.3">
      <c r="A28" s="1" t="s">
        <v>26</v>
      </c>
      <c r="B28" s="2" t="s">
        <v>9</v>
      </c>
      <c r="C28" s="2" t="s">
        <v>9</v>
      </c>
      <c r="D28" s="2">
        <v>15</v>
      </c>
      <c r="E28" s="2">
        <v>17</v>
      </c>
      <c r="F28" s="2">
        <v>18</v>
      </c>
      <c r="G28" s="3"/>
      <c r="H28" s="3"/>
    </row>
    <row r="29" spans="1:8" ht="15" customHeight="1" x14ac:dyDescent="0.3">
      <c r="A29" s="1" t="s">
        <v>27</v>
      </c>
      <c r="B29" s="2">
        <v>19</v>
      </c>
      <c r="C29" s="2">
        <v>16</v>
      </c>
      <c r="D29" s="2">
        <v>17</v>
      </c>
      <c r="E29" s="2" t="s">
        <v>9</v>
      </c>
      <c r="F29" s="2" t="s">
        <v>9</v>
      </c>
      <c r="G29" s="3"/>
      <c r="H29" s="3"/>
    </row>
    <row r="30" spans="1:8" ht="15" customHeight="1" x14ac:dyDescent="0.3">
      <c r="A30" s="1" t="s">
        <v>28</v>
      </c>
      <c r="B30" s="2">
        <v>16</v>
      </c>
      <c r="C30" s="2">
        <v>13</v>
      </c>
      <c r="D30" s="2">
        <v>15</v>
      </c>
      <c r="E30" s="2">
        <v>16</v>
      </c>
      <c r="F30" s="2">
        <v>17</v>
      </c>
      <c r="G30" s="3"/>
      <c r="H30" s="3"/>
    </row>
    <row r="31" spans="1:8" ht="15" customHeight="1" x14ac:dyDescent="0.3">
      <c r="A31" s="1" t="s">
        <v>29</v>
      </c>
      <c r="B31" s="2">
        <v>3</v>
      </c>
      <c r="C31" s="2">
        <v>2</v>
      </c>
      <c r="D31" s="2">
        <v>5</v>
      </c>
      <c r="E31" s="2">
        <v>-37</v>
      </c>
      <c r="F31" s="2">
        <v>11</v>
      </c>
      <c r="G31" s="3"/>
      <c r="H31" s="3"/>
    </row>
    <row r="32" spans="1:8" ht="15" customHeight="1" x14ac:dyDescent="0.3">
      <c r="A32" s="1" t="s">
        <v>30</v>
      </c>
      <c r="B32" s="2">
        <v>-7</v>
      </c>
      <c r="C32" s="2">
        <v>-21</v>
      </c>
      <c r="D32" s="2">
        <v>-4</v>
      </c>
      <c r="E32" s="2">
        <v>-119</v>
      </c>
      <c r="F32" s="2">
        <v>0</v>
      </c>
      <c r="G32" s="3"/>
      <c r="H32" s="3"/>
    </row>
    <row r="33" spans="1:8" ht="15" customHeight="1" x14ac:dyDescent="0.3">
      <c r="A33" s="1" t="s">
        <v>31</v>
      </c>
      <c r="B33" s="2">
        <v>24</v>
      </c>
      <c r="C33" s="2">
        <v>21</v>
      </c>
      <c r="D33" s="2">
        <v>21</v>
      </c>
      <c r="E33" s="2">
        <v>12</v>
      </c>
      <c r="F33" s="2">
        <v>23</v>
      </c>
      <c r="G33" s="3"/>
      <c r="H33" s="3"/>
    </row>
    <row r="34" spans="1:8" x14ac:dyDescent="0.3">
      <c r="A34" s="3"/>
      <c r="B34" s="3"/>
      <c r="C34" s="3"/>
      <c r="D34" s="3"/>
      <c r="E34" s="3"/>
      <c r="F34" s="3"/>
      <c r="G34" s="3"/>
      <c r="H34" s="3"/>
    </row>
    <row r="35" spans="1:8" x14ac:dyDescent="0.3">
      <c r="A35" s="3" t="s">
        <v>79</v>
      </c>
      <c r="B35" s="3"/>
      <c r="C35" s="3"/>
      <c r="D35" s="3"/>
      <c r="E35" s="3"/>
      <c r="F35" s="3"/>
      <c r="G35" s="3"/>
      <c r="H35" s="3"/>
    </row>
    <row r="36" spans="1:8" x14ac:dyDescent="0.3">
      <c r="A36" s="3"/>
      <c r="B36" s="3"/>
      <c r="C36" s="3"/>
      <c r="D36" s="3"/>
      <c r="E36" s="3"/>
      <c r="F36" s="3"/>
      <c r="G36" s="3"/>
      <c r="H36" s="3"/>
    </row>
    <row r="37" spans="1:8" x14ac:dyDescent="0.3">
      <c r="A37" s="3"/>
      <c r="B37" s="3"/>
      <c r="C37" s="3"/>
      <c r="D37" s="3"/>
      <c r="E37" s="3"/>
      <c r="F37" s="3"/>
      <c r="G37" s="3"/>
      <c r="H37" s="3"/>
    </row>
    <row r="38" spans="1:8" x14ac:dyDescent="0.3">
      <c r="A38" s="3"/>
      <c r="B38" s="3"/>
      <c r="C38" s="3"/>
      <c r="D38" s="3"/>
      <c r="E38" s="3"/>
      <c r="F38" s="3"/>
      <c r="G38" s="3"/>
      <c r="H38" s="3"/>
    </row>
    <row r="39" spans="1:8" x14ac:dyDescent="0.3">
      <c r="A39" s="3"/>
      <c r="B39" s="3"/>
      <c r="C39" s="3"/>
      <c r="D39" s="3"/>
      <c r="E39" s="3"/>
      <c r="F39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3FEA-EDDB-4FD1-A4A0-49E37BCDC183}">
  <dimension ref="A1:U35"/>
  <sheetViews>
    <sheetView zoomScale="90" zoomScaleNormal="90" workbookViewId="0">
      <selection activeCell="F27" sqref="F27"/>
    </sheetView>
  </sheetViews>
  <sheetFormatPr defaultColWidth="15.77734375" defaultRowHeight="14.4" x14ac:dyDescent="0.3"/>
  <cols>
    <col min="1" max="1" width="31.21875" customWidth="1"/>
    <col min="2" max="2" width="15.77734375" customWidth="1"/>
  </cols>
  <sheetData>
    <row r="1" spans="1:21" ht="22.8" customHeight="1" x14ac:dyDescent="0.4">
      <c r="A1" s="4" t="s">
        <v>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9.8" customHeight="1" x14ac:dyDescent="0.3">
      <c r="A2" s="7" t="s">
        <v>51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ht="13.8" customHeight="1" x14ac:dyDescent="0.3">
      <c r="A3" s="7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22.8" customHeight="1" x14ac:dyDescent="0.3">
      <c r="A4" s="22" t="s">
        <v>38</v>
      </c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 customHeight="1" x14ac:dyDescent="0.3">
      <c r="A5" s="3" t="s">
        <v>39</v>
      </c>
      <c r="B5" s="15" t="s">
        <v>53</v>
      </c>
      <c r="C5" s="15">
        <f>Raw_Key_Figures!C6/Raw_Key_Figures!B6-1</f>
        <v>0.14515343399902592</v>
      </c>
      <c r="D5" s="15">
        <f>Raw_Key_Figures!D6/Raw_Key_Figures!C6-1</f>
        <v>4.8490004253509245E-2</v>
      </c>
      <c r="E5" s="15">
        <f>Raw_Key_Figures!E6/Raw_Key_Figures!D6-1</f>
        <v>6.9776876267748422E-2</v>
      </c>
      <c r="F5" s="15">
        <f>Raw_Key_Figures!F6/Raw_Key_Figures!E6-1</f>
        <v>-2.1994690936670502E-2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ht="15" customHeight="1" x14ac:dyDescent="0.3">
      <c r="A6" s="3" t="s">
        <v>40</v>
      </c>
      <c r="B6" s="15">
        <f>Raw_Key_Figures!B7/tbl_raw_key_figures[[#This Row],[2020/21]]</f>
        <v>0.58548465660009741</v>
      </c>
      <c r="C6" s="15">
        <f>Raw_Key_Figures!C7/tbl_raw_key_figures[[#This Row],[2021/22]]</f>
        <v>0.58528285835814542</v>
      </c>
      <c r="D6" s="15">
        <f>Raw_Key_Figures!D7/tbl_raw_key_figures[[#This Row],[2022/23]]</f>
        <v>0.58417849898580121</v>
      </c>
      <c r="E6" s="15">
        <f>Raw_Key_Figures!E7/tbl_raw_key_figures[[#This Row],[2023/24]]</f>
        <v>0.56731133864239669</v>
      </c>
      <c r="F6" s="15">
        <f>Raw_Key_Figures!F7/tbl_raw_key_figures[[#This Row],[2024/25]]</f>
        <v>0.62776269872043433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15" customHeight="1" x14ac:dyDescent="0.3">
      <c r="A7" s="3" t="s">
        <v>54</v>
      </c>
      <c r="B7" s="15" t="s">
        <v>53</v>
      </c>
      <c r="C7" s="15" t="s">
        <v>53</v>
      </c>
      <c r="D7" s="15">
        <f>Raw_Key_Figures!D8/Raw_Key_Figures!D6</f>
        <v>0.15253549695740365</v>
      </c>
      <c r="E7" s="15">
        <f>Raw_Key_Figures!E8/Raw_Key_Figures!E6</f>
        <v>0.16685627607129314</v>
      </c>
      <c r="F7" s="15">
        <f>Raw_Key_Figures!F8/Raw_Key_Figures!F6</f>
        <v>0.17681271810779373</v>
      </c>
      <c r="G7" s="3"/>
      <c r="H7" s="3" t="s">
        <v>52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ht="15" customHeight="1" x14ac:dyDescent="0.3">
      <c r="A8" s="3" t="s">
        <v>55</v>
      </c>
      <c r="B8" s="15">
        <f>Raw_Key_Figures!B9/Raw_Key_Figures!B6</f>
        <v>0.18753044325377496</v>
      </c>
      <c r="C8" s="15">
        <f>Raw_Key_Figures!C9/Raw_Key_Figures!C6</f>
        <v>0.16248404934070609</v>
      </c>
      <c r="D8" s="15">
        <f>Raw_Key_Figures!D9/Raw_Key_Figures!D6</f>
        <v>0.16551724137931034</v>
      </c>
      <c r="E8" s="15" t="s">
        <v>53</v>
      </c>
      <c r="F8" s="15" t="s">
        <v>53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ht="15" customHeight="1" x14ac:dyDescent="0.3">
      <c r="A9" s="3" t="s">
        <v>41</v>
      </c>
      <c r="B9" s="15">
        <f>Raw_Key_Figures!B10/Raw_Key_Figures!B6</f>
        <v>0.16268874817340478</v>
      </c>
      <c r="C9" s="15">
        <f>Raw_Key_Figures!C10/Raw_Key_Figures!C6</f>
        <v>0.12845597618034879</v>
      </c>
      <c r="D9" s="15">
        <f>Raw_Key_Figures!D10/Raw_Key_Figures!D6</f>
        <v>0.15172413793103448</v>
      </c>
      <c r="E9" s="15">
        <f>Raw_Key_Figures!E10/Raw_Key_Figures!E6</f>
        <v>0.15889268107698143</v>
      </c>
      <c r="F9" s="15">
        <f>Raw_Key_Figures!F10/Raw_Key_Figures!F6</f>
        <v>0.16789453276463745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ht="15" customHeight="1" x14ac:dyDescent="0.3">
      <c r="A10" s="3" t="s">
        <v>42</v>
      </c>
      <c r="B10" s="15">
        <f>Raw_Key_Figures!B12/Raw_Key_Figures!B6</f>
        <v>3.0686799805163176E-2</v>
      </c>
      <c r="C10" s="15">
        <f>Raw_Key_Figures!C12/Raw_Key_Figures!C6</f>
        <v>1.9991492981709911E-2</v>
      </c>
      <c r="D10" s="15">
        <f>Raw_Key_Figures!D12/Raw_Key_Figures!D6</f>
        <v>4.665314401622718E-2</v>
      </c>
      <c r="E10" s="15">
        <f>Raw_Key_Figures!E12/Raw_Key_Figures!E6</f>
        <v>-0.3731513083048919</v>
      </c>
      <c r="F10" s="15">
        <f>Raw_Key_Figures!F12/Raw_Key_Figures!F6</f>
        <v>0.11089569600620396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 customHeight="1" x14ac:dyDescent="0.3">
      <c r="A11" s="3" t="s">
        <v>43</v>
      </c>
      <c r="B11" s="15">
        <f>Raw_Key_Figures!B15/Raw_Key_Figures!B6</f>
        <v>-5.6989771066731615E-2</v>
      </c>
      <c r="C11" s="15">
        <f>Raw_Key_Figures!C15/Raw_Key_Figures!C6</f>
        <v>-0.13228413441088899</v>
      </c>
      <c r="D11" s="15">
        <f>Raw_Key_Figures!D15/Raw_Key_Figures!D6</f>
        <v>-2.1095334685598377E-2</v>
      </c>
      <c r="E11" s="15">
        <f>Raw_Key_Figures!E15/Raw_Key_Figures!E6</f>
        <v>-0.44444444444444442</v>
      </c>
      <c r="F11" s="15">
        <f>Raw_Key_Figures!F15/Raw_Key_Figures!F6</f>
        <v>1.5509887553315238E-3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ht="15" customHeight="1" x14ac:dyDescent="0.3">
      <c r="A12" s="3" t="s">
        <v>44</v>
      </c>
      <c r="B12" s="15">
        <f>Raw_Key_Figures!B15/Raw_Key_Figures!B17</f>
        <v>-1.797511138423721E-2</v>
      </c>
      <c r="C12" s="15">
        <f>Raw_Key_Figures!C15/Raw_Key_Figures!C17</f>
        <v>-4.7271621827025385E-2</v>
      </c>
      <c r="D12" s="15">
        <f>Raw_Key_Figures!D15/Raw_Key_Figures!D17</f>
        <v>-8.1072653570314936E-3</v>
      </c>
      <c r="E12" s="15">
        <f>Raw_Key_Figures!E15/Raw_Key_Figures!E17</f>
        <v>-0.23157478759138511</v>
      </c>
      <c r="F12" s="15">
        <f>Raw_Key_Figures!F15/Raw_Key_Figures!F17</f>
        <v>7.874015748031496E-4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ht="15" customHeight="1" x14ac:dyDescent="0.3">
      <c r="A13" s="3" t="s">
        <v>45</v>
      </c>
      <c r="B13" s="15">
        <f>Raw_Key_Figures!B15/Raw_Key_Figures!B20</f>
        <v>-7.5875486381322951E-2</v>
      </c>
      <c r="C13" s="15">
        <f>Raw_Key_Figures!C15/Raw_Key_Figures!C20</f>
        <v>-0.22325915290739412</v>
      </c>
      <c r="D13" s="15">
        <f>Raw_Key_Figures!D15/Raw_Key_Figures!D20</f>
        <v>-3.8604305864884926E-2</v>
      </c>
      <c r="E13" s="15">
        <f>Raw_Key_Figures!E15/Raw_Key_Figures!E20</f>
        <v>-1.9025974025974026</v>
      </c>
      <c r="F13" s="15">
        <f>Raw_Key_Figures!F15/Raw_Key_Figures!F20</f>
        <v>3.4071550255536627E-3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ht="15" customHeight="1" x14ac:dyDescent="0.3">
      <c r="A14" s="3" t="s">
        <v>46</v>
      </c>
      <c r="B14" s="16">
        <f>Raw_Key_Figures!B18/Raw_Key_Figures!B10</f>
        <v>10.491017964071856</v>
      </c>
      <c r="C14" s="16">
        <f>Raw_Key_Figures!C18/Raw_Key_Figures!C10</f>
        <v>12.403973509933774</v>
      </c>
      <c r="D14" s="16">
        <f>Raw_Key_Figures!D18/Raw_Key_Figures!D10</f>
        <v>9.6524064171122994</v>
      </c>
      <c r="E14" s="16">
        <f>Raw_Key_Figures!E18/Raw_Key_Figures!E10</f>
        <v>7.8949880668257757</v>
      </c>
      <c r="F14" s="16">
        <f>Raw_Key_Figures!F18/Raw_Key_Figures!F10</f>
        <v>6.4826789838337184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15" customHeight="1" x14ac:dyDescent="0.3">
      <c r="A15" s="3" t="s">
        <v>56</v>
      </c>
      <c r="B15" s="15">
        <f>Raw_Key_Figures!B22/Raw_Key_Figures!B6</f>
        <v>0.15489527520701413</v>
      </c>
      <c r="C15" s="15">
        <f>Raw_Key_Figures!C22/Raw_Key_Figures!C6</f>
        <v>0.10548702679710761</v>
      </c>
      <c r="D15" s="15">
        <f>Raw_Key_Figures!D22/Raw_Key_Figures!D6</f>
        <v>0.14320486815415823</v>
      </c>
      <c r="E15" s="15">
        <f>Raw_Key_Figures!E22/Raw_Key_Figures!E6</f>
        <v>0.1111111111111111</v>
      </c>
      <c r="F15" s="15">
        <f>Raw_Key_Figures!F22/Raw_Key_Figures!F6</f>
        <v>0.15044590926715781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ht="15" customHeight="1" x14ac:dyDescent="0.3">
      <c r="A16" s="3" t="s">
        <v>47</v>
      </c>
      <c r="B16" s="15">
        <f>Raw_Key_Figures!B23/Raw_Key_Figures!B6</f>
        <v>0.12761811982464685</v>
      </c>
      <c r="C16" s="15">
        <f>Raw_Key_Figures!C23/Raw_Key_Figures!C6</f>
        <v>8.6346235644406633E-2</v>
      </c>
      <c r="D16" s="15">
        <f>Raw_Key_Figures!D23/Raw_Key_Figures!D6</f>
        <v>0.10182555780933063</v>
      </c>
      <c r="E16" s="15">
        <f>Raw_Key_Figures!E23/Raw_Key_Figures!E6</f>
        <v>7.7739855896852478E-2</v>
      </c>
      <c r="F16" s="15">
        <f>Raw_Key_Figures!F23/Raw_Key_Figures!F6</f>
        <v>0.113997673516867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ht="15" customHeight="1" x14ac:dyDescent="0.3">
      <c r="A17" s="3" t="s">
        <v>48</v>
      </c>
      <c r="B17" s="15">
        <f>Raw_Key_Figures!B19/Raw_Key_Figures!B6</f>
        <v>0.10959571358986848</v>
      </c>
      <c r="C17" s="15">
        <f>Raw_Key_Figures!C19/Raw_Key_Figures!C6</f>
        <v>0.1207996597192684</v>
      </c>
      <c r="D17" s="15">
        <f>Raw_Key_Figures!D19/Raw_Key_Figures!D6</f>
        <v>0.10466531440162272</v>
      </c>
      <c r="E17" s="15">
        <f>Raw_Key_Figures!E19/Raw_Key_Figures!E6</f>
        <v>0.12097080015168753</v>
      </c>
      <c r="F17" s="15">
        <f>Raw_Key_Figures!F19/Raw_Key_Figures!F6</f>
        <v>0.12058937572702598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ht="15" customHeight="1" x14ac:dyDescent="0.3">
      <c r="A18" s="3" t="s">
        <v>49</v>
      </c>
      <c r="B18" s="15">
        <f>Raw_Key_Figures!B20/Raw_Key_Figures!B17</f>
        <v>0.23690275003840836</v>
      </c>
      <c r="C18" s="15">
        <f>Raw_Key_Figures!C20/Raw_Key_Figures!C17</f>
        <v>0.211734306125551</v>
      </c>
      <c r="D18" s="15">
        <f>Raw_Key_Figures!D20/Raw_Key_Figures!D17</f>
        <v>0.21000935453695041</v>
      </c>
      <c r="E18" s="15">
        <f>Raw_Key_Figures!E20/Raw_Key_Figures!E17</f>
        <v>0.12171507607192254</v>
      </c>
      <c r="F18" s="15">
        <f>Raw_Key_Figures!F20/Raw_Key_Figures!F17</f>
        <v>0.23110236220472441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3">
      <c r="A21" s="3" t="s">
        <v>80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7CB13-AE24-47A8-8B43-6572CC8FC29F}">
  <dimension ref="A1:BD192"/>
  <sheetViews>
    <sheetView zoomScale="90" zoomScaleNormal="90" workbookViewId="0">
      <selection activeCell="J11" sqref="J11"/>
    </sheetView>
  </sheetViews>
  <sheetFormatPr defaultRowHeight="14.4" x14ac:dyDescent="0.3"/>
  <cols>
    <col min="1" max="1" width="48.77734375" bestFit="1" customWidth="1"/>
    <col min="2" max="5" width="16.77734375" customWidth="1"/>
    <col min="6" max="6" width="24.21875" customWidth="1"/>
    <col min="7" max="9" width="16.77734375" customWidth="1"/>
    <col min="10" max="10" width="18.77734375" customWidth="1"/>
  </cols>
  <sheetData>
    <row r="1" spans="1:14" ht="22.2" customHeight="1" x14ac:dyDescent="0.4">
      <c r="A1" s="19" t="s">
        <v>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A2" s="7" t="s">
        <v>57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2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3">
      <c r="A4" s="24" t="s">
        <v>58</v>
      </c>
      <c r="B4" s="24" t="s">
        <v>6</v>
      </c>
      <c r="C4" s="24" t="s">
        <v>7</v>
      </c>
      <c r="D4" s="24" t="s">
        <v>40</v>
      </c>
      <c r="E4" s="24" t="s">
        <v>11</v>
      </c>
      <c r="F4" s="24" t="s">
        <v>41</v>
      </c>
      <c r="G4" s="24" t="s">
        <v>22</v>
      </c>
      <c r="H4" s="24" t="s">
        <v>47</v>
      </c>
      <c r="I4" s="24" t="s">
        <v>46</v>
      </c>
      <c r="J4" s="8"/>
      <c r="K4" s="3"/>
      <c r="L4" s="3"/>
      <c r="M4" s="3"/>
      <c r="N4" s="3"/>
    </row>
    <row r="5" spans="1:14" ht="15" customHeight="1" x14ac:dyDescent="0.3">
      <c r="A5" s="3" t="s">
        <v>1</v>
      </c>
      <c r="B5" s="9">
        <v>2053</v>
      </c>
      <c r="C5" s="12">
        <v>1202</v>
      </c>
      <c r="D5" s="10">
        <v>0.58550000000000002</v>
      </c>
      <c r="E5" s="12">
        <v>334</v>
      </c>
      <c r="F5" s="10">
        <v>0.16270000000000001</v>
      </c>
      <c r="G5" s="12">
        <v>262</v>
      </c>
      <c r="H5" s="10">
        <v>0.12759999999999999</v>
      </c>
      <c r="I5" s="11">
        <v>10.49</v>
      </c>
      <c r="J5" s="3"/>
      <c r="K5" s="3"/>
      <c r="L5" s="3"/>
      <c r="M5" s="3"/>
      <c r="N5" s="3"/>
    </row>
    <row r="6" spans="1:14" ht="15" customHeight="1" x14ac:dyDescent="0.3">
      <c r="A6" s="3" t="s">
        <v>2</v>
      </c>
      <c r="B6" s="9">
        <v>2351</v>
      </c>
      <c r="C6" s="12">
        <v>1376</v>
      </c>
      <c r="D6" s="10">
        <v>0.58530000000000004</v>
      </c>
      <c r="E6" s="12">
        <v>302</v>
      </c>
      <c r="F6" s="10">
        <v>0.1285</v>
      </c>
      <c r="G6" s="12">
        <v>203</v>
      </c>
      <c r="H6" s="10">
        <v>8.6300000000000002E-2</v>
      </c>
      <c r="I6" s="11">
        <v>12.4</v>
      </c>
      <c r="J6" s="3"/>
      <c r="K6" s="3"/>
      <c r="L6" s="3"/>
      <c r="M6" s="3"/>
      <c r="N6" s="3"/>
    </row>
    <row r="7" spans="1:14" ht="15" customHeight="1" x14ac:dyDescent="0.3">
      <c r="A7" s="3" t="s">
        <v>3</v>
      </c>
      <c r="B7" s="9">
        <v>2465</v>
      </c>
      <c r="C7" s="12">
        <v>1440</v>
      </c>
      <c r="D7" s="10">
        <v>0.58420000000000005</v>
      </c>
      <c r="E7" s="12">
        <v>374</v>
      </c>
      <c r="F7" s="10">
        <v>0.1517</v>
      </c>
      <c r="G7" s="12">
        <v>251</v>
      </c>
      <c r="H7" s="10">
        <v>0.1018</v>
      </c>
      <c r="I7" s="11">
        <v>9.65</v>
      </c>
      <c r="J7" s="3"/>
      <c r="K7" s="3"/>
      <c r="L7" s="3"/>
      <c r="M7" s="3"/>
      <c r="N7" s="3"/>
    </row>
    <row r="8" spans="1:14" ht="15" customHeight="1" x14ac:dyDescent="0.3">
      <c r="A8" s="3" t="s">
        <v>4</v>
      </c>
      <c r="B8" s="9">
        <v>2637</v>
      </c>
      <c r="C8" s="12">
        <v>1496</v>
      </c>
      <c r="D8" s="10">
        <v>0.56730000000000003</v>
      </c>
      <c r="E8" s="12">
        <v>419</v>
      </c>
      <c r="F8" s="10">
        <v>0.15890000000000001</v>
      </c>
      <c r="G8" s="12">
        <v>205</v>
      </c>
      <c r="H8" s="10">
        <v>7.7700000000000005E-2</v>
      </c>
      <c r="I8" s="11">
        <v>7.89</v>
      </c>
      <c r="J8" s="3"/>
      <c r="K8" s="3"/>
      <c r="L8" s="3"/>
      <c r="M8" s="3"/>
      <c r="N8" s="3"/>
    </row>
    <row r="9" spans="1:14" ht="15" customHeight="1" x14ac:dyDescent="0.3">
      <c r="A9" s="3" t="s">
        <v>5</v>
      </c>
      <c r="B9" s="9">
        <v>2579</v>
      </c>
      <c r="C9" s="12">
        <v>1619</v>
      </c>
      <c r="D9" s="10">
        <v>0.62780000000000002</v>
      </c>
      <c r="E9" s="12">
        <v>433</v>
      </c>
      <c r="F9" s="10">
        <v>0.16789999999999999</v>
      </c>
      <c r="G9" s="12">
        <v>294</v>
      </c>
      <c r="H9" s="10">
        <v>0.114</v>
      </c>
      <c r="I9" s="11">
        <v>6.48</v>
      </c>
      <c r="J9" s="3"/>
      <c r="K9" s="3"/>
      <c r="L9" s="3"/>
      <c r="M9" s="3"/>
      <c r="N9" s="3"/>
    </row>
    <row r="10" spans="1:14" ht="15" customHeight="1" x14ac:dyDescent="0.3">
      <c r="A10" s="3"/>
      <c r="B10" s="9"/>
      <c r="C10" s="12"/>
      <c r="D10" s="10"/>
      <c r="E10" s="12"/>
      <c r="F10" s="10"/>
      <c r="G10" s="12"/>
      <c r="H10" s="10"/>
      <c r="I10" s="11"/>
      <c r="J10" s="3"/>
      <c r="K10" s="3"/>
      <c r="L10" s="3"/>
      <c r="M10" s="3"/>
      <c r="N10" s="3"/>
    </row>
    <row r="11" spans="1:14" ht="15" customHeight="1" x14ac:dyDescent="0.3">
      <c r="A11" s="3"/>
      <c r="B11" s="9"/>
      <c r="C11" s="12"/>
      <c r="D11" s="10"/>
      <c r="E11" s="12"/>
      <c r="F11" s="10"/>
      <c r="G11" s="12"/>
      <c r="H11" s="10"/>
      <c r="I11" s="11"/>
      <c r="J11" s="3"/>
      <c r="K11" s="3"/>
      <c r="L11" s="3"/>
      <c r="M11" s="3"/>
      <c r="N11" s="3"/>
    </row>
    <row r="12" spans="1:14" ht="15" customHeight="1" x14ac:dyDescent="0.3">
      <c r="A12" s="3"/>
      <c r="B12" s="9"/>
      <c r="C12" s="12"/>
      <c r="D12" s="10"/>
      <c r="E12" s="12"/>
      <c r="F12" s="10"/>
      <c r="G12" s="12"/>
      <c r="H12" s="10"/>
      <c r="I12" s="11"/>
      <c r="J12" s="3"/>
      <c r="K12" s="3"/>
      <c r="L12" s="3"/>
      <c r="M12" s="3"/>
      <c r="N12" s="3"/>
    </row>
    <row r="13" spans="1:14" x14ac:dyDescent="0.3">
      <c r="A13" s="3"/>
      <c r="B13" s="3"/>
      <c r="C13" s="3"/>
      <c r="D13" s="3"/>
      <c r="E13" s="3"/>
      <c r="F13" s="3"/>
      <c r="G13" s="3"/>
      <c r="H13" s="3"/>
      <c r="I13" s="9"/>
      <c r="J13" s="3"/>
      <c r="K13" s="3"/>
      <c r="L13" s="3"/>
      <c r="M13" s="3"/>
      <c r="N13" s="3"/>
    </row>
    <row r="14" spans="1:14" x14ac:dyDescent="0.3">
      <c r="A14" s="3"/>
      <c r="B14" s="3"/>
      <c r="C14" s="3"/>
      <c r="D14" s="3"/>
      <c r="E14" s="3"/>
      <c r="F14" s="3"/>
      <c r="G14" s="3"/>
      <c r="H14" s="3"/>
      <c r="I14" s="9"/>
      <c r="J14" s="3"/>
      <c r="K14" s="3"/>
      <c r="L14" s="3"/>
      <c r="M14" s="3"/>
      <c r="N14" s="3"/>
    </row>
    <row r="15" spans="1:14" x14ac:dyDescent="0.3">
      <c r="A15" s="3"/>
      <c r="B15" s="3"/>
      <c r="C15" s="3"/>
      <c r="D15" s="3"/>
      <c r="E15" s="3"/>
      <c r="F15" s="3"/>
      <c r="G15" s="3"/>
      <c r="H15" s="3"/>
      <c r="I15" s="9"/>
      <c r="J15" s="3"/>
      <c r="K15" s="3"/>
      <c r="L15" s="3"/>
      <c r="M15" s="3"/>
      <c r="N15" s="3"/>
    </row>
    <row r="16" spans="1:14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56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5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5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56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56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56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56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56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56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56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56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56" x14ac:dyDescent="0.3">
      <c r="A28" s="3"/>
      <c r="B28" s="3"/>
      <c r="C28" s="3"/>
      <c r="D28" s="3"/>
      <c r="E28" s="3"/>
      <c r="F28" s="3"/>
      <c r="H28" s="3"/>
      <c r="I28" s="3"/>
      <c r="J28" s="3"/>
      <c r="K28" s="3"/>
      <c r="L28" s="3"/>
      <c r="M28" s="3"/>
      <c r="N28" s="3"/>
      <c r="O28" s="3"/>
      <c r="P28" s="3"/>
    </row>
    <row r="29" spans="1:56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</row>
    <row r="30" spans="1:56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</row>
    <row r="31" spans="1:5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</row>
    <row r="32" spans="1:56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</row>
    <row r="33" spans="1:5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</row>
    <row r="34" spans="1:56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</row>
    <row r="35" spans="1:5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</row>
    <row r="36" spans="1:56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</row>
    <row r="37" spans="1:5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</row>
    <row r="38" spans="1:56" x14ac:dyDescent="0.3">
      <c r="A38" s="3"/>
      <c r="B38" s="3"/>
      <c r="C38" s="3"/>
      <c r="D38" s="3"/>
      <c r="E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</row>
    <row r="39" spans="1:5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</row>
    <row r="40" spans="1:56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</row>
    <row r="41" spans="1:5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</row>
    <row r="42" spans="1:56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</row>
    <row r="43" spans="1:5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</row>
    <row r="44" spans="1:56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</row>
    <row r="45" spans="1:5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</row>
    <row r="46" spans="1:56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</row>
    <row r="47" spans="1:56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</row>
    <row r="48" spans="1:56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</row>
    <row r="49" spans="1:56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</row>
    <row r="50" spans="1:56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</row>
    <row r="51" spans="1:56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</row>
    <row r="52" spans="1:56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</row>
    <row r="53" spans="1:56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</row>
    <row r="54" spans="1:56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</row>
    <row r="55" spans="1:56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</row>
    <row r="56" spans="1:56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</row>
    <row r="57" spans="1:56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</row>
    <row r="58" spans="1:56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</row>
    <row r="59" spans="1:56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</row>
    <row r="60" spans="1:56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</row>
    <row r="61" spans="1:56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</row>
    <row r="62" spans="1:56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</row>
    <row r="63" spans="1:56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</row>
    <row r="64" spans="1:56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</row>
    <row r="65" spans="1:56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</row>
    <row r="66" spans="1:56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</row>
    <row r="67" spans="1:56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</row>
    <row r="68" spans="1:56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</row>
    <row r="69" spans="1:56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</row>
    <row r="70" spans="1:56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</row>
    <row r="71" spans="1:56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</row>
    <row r="72" spans="1:56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</row>
    <row r="73" spans="1:56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</row>
    <row r="74" spans="1:56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</row>
    <row r="75" spans="1:56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</row>
    <row r="76" spans="1:56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</row>
    <row r="77" spans="1:56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</row>
    <row r="78" spans="1:56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</row>
    <row r="79" spans="1:56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</row>
    <row r="80" spans="1:56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</row>
    <row r="81" spans="1:56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</row>
    <row r="82" spans="1:56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</row>
    <row r="83" spans="1:56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</row>
    <row r="84" spans="1:56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</row>
    <row r="85" spans="1:56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</row>
    <row r="86" spans="1:56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</row>
    <row r="87" spans="1:56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</row>
    <row r="88" spans="1:56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</row>
    <row r="89" spans="1:56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</row>
    <row r="90" spans="1:56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</row>
    <row r="91" spans="1:56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</row>
    <row r="92" spans="1:56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</row>
    <row r="93" spans="1:56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</row>
    <row r="94" spans="1:56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</row>
    <row r="95" spans="1:56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</row>
    <row r="96" spans="1:56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</row>
    <row r="97" spans="1:56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</row>
    <row r="98" spans="1:56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</row>
    <row r="99" spans="1:56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</row>
    <row r="100" spans="1:56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</row>
    <row r="101" spans="1:56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</row>
    <row r="102" spans="1:56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</row>
    <row r="103" spans="1:56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</row>
    <row r="104" spans="1:56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</row>
    <row r="105" spans="1:56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</row>
    <row r="106" spans="1:56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</row>
    <row r="107" spans="1:56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</row>
    <row r="108" spans="1:56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</row>
    <row r="109" spans="1:56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</row>
    <row r="110" spans="1:56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</row>
    <row r="111" spans="1:56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</row>
    <row r="112" spans="1:56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</row>
    <row r="113" spans="1:56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</row>
    <row r="114" spans="1:56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</row>
    <row r="115" spans="1:56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</row>
    <row r="116" spans="1:56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</row>
    <row r="117" spans="1:56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</row>
    <row r="118" spans="1:56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</row>
    <row r="119" spans="1:56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</row>
    <row r="120" spans="1:56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</row>
    <row r="121" spans="1:56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</row>
    <row r="122" spans="1:56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</row>
    <row r="123" spans="1:56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</row>
    <row r="124" spans="1:56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</row>
    <row r="125" spans="1:56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</row>
    <row r="126" spans="1:56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</row>
    <row r="127" spans="1:56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</row>
    <row r="128" spans="1:56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</row>
    <row r="129" spans="1:56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</row>
    <row r="130" spans="1:56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</row>
    <row r="131" spans="1:56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</row>
    <row r="132" spans="1:56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</row>
    <row r="133" spans="1:56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</row>
    <row r="134" spans="1:56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</row>
    <row r="135" spans="1:56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</row>
    <row r="136" spans="1:56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</row>
    <row r="137" spans="1:56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</row>
    <row r="138" spans="1:56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</row>
    <row r="139" spans="1:56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</row>
    <row r="140" spans="1:56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</row>
    <row r="141" spans="1:56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</row>
    <row r="142" spans="1:56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</row>
    <row r="143" spans="1:56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</row>
    <row r="144" spans="1:56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</row>
    <row r="145" spans="1:56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</row>
    <row r="146" spans="1:56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</row>
    <row r="147" spans="1:56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</row>
    <row r="148" spans="1:56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</row>
    <row r="149" spans="1:56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</row>
    <row r="150" spans="1:56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</row>
    <row r="151" spans="1:56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</row>
    <row r="152" spans="1:56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</row>
    <row r="153" spans="1:56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</row>
    <row r="154" spans="1:56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</row>
    <row r="155" spans="1:56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</row>
    <row r="156" spans="1:56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</row>
    <row r="157" spans="1:56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</row>
    <row r="158" spans="1:56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</row>
    <row r="159" spans="1:56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</row>
    <row r="160" spans="1:56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</row>
    <row r="161" spans="1:56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</row>
    <row r="162" spans="1:56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</row>
    <row r="163" spans="1:56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</row>
    <row r="164" spans="1:56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</row>
    <row r="165" spans="1:56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</row>
    <row r="166" spans="1:56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</row>
    <row r="167" spans="1:56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</row>
    <row r="168" spans="1:56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</row>
    <row r="169" spans="1:56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</row>
    <row r="170" spans="1:56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</row>
    <row r="171" spans="1:56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</row>
    <row r="172" spans="1:56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</row>
    <row r="173" spans="1:56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</row>
    <row r="174" spans="1:56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</row>
    <row r="175" spans="1:56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</row>
    <row r="176" spans="1:56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</row>
    <row r="177" spans="1:56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</row>
    <row r="178" spans="1:56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</row>
    <row r="179" spans="1:56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</row>
    <row r="180" spans="1:56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</row>
    <row r="181" spans="1:56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</row>
    <row r="182" spans="1:56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</row>
    <row r="183" spans="1:56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</row>
    <row r="184" spans="1:56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</row>
    <row r="185" spans="1:56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</row>
    <row r="186" spans="1:56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</row>
    <row r="187" spans="1:56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</row>
    <row r="188" spans="1:56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</row>
    <row r="189" spans="1:56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</row>
    <row r="190" spans="1:56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</row>
    <row r="191" spans="1:56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</row>
    <row r="192" spans="1:56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7008C-1E41-4092-AD1B-4041A20E98E5}">
  <dimension ref="A1:AZ91"/>
  <sheetViews>
    <sheetView zoomScale="66" zoomScaleNormal="100" workbookViewId="0">
      <selection activeCell="AF29" sqref="AF29"/>
    </sheetView>
  </sheetViews>
  <sheetFormatPr defaultRowHeight="14.4" x14ac:dyDescent="0.3"/>
  <sheetData>
    <row r="1" spans="1:52" ht="31.8" customHeight="1" x14ac:dyDescent="0.4">
      <c r="A1" s="19" t="s">
        <v>82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 ht="22.8" customHeight="1" x14ac:dyDescent="0.3">
      <c r="A2" s="7" t="s">
        <v>60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Methodology</vt:lpstr>
      <vt:lpstr>Raw_Key_Figures</vt:lpstr>
      <vt:lpstr>Ratio_Calculations</vt:lpstr>
      <vt:lpstr>Chart_Data</vt:lpstr>
      <vt:lpstr>Dashboard_Mockup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Namiq Ferzeliyev</cp:lastModifiedBy>
  <dcterms:created xsi:type="dcterms:W3CDTF">2015-06-05T18:17:20Z</dcterms:created>
  <dcterms:modified xsi:type="dcterms:W3CDTF">2026-05-22T18:23:09Z</dcterms:modified>
</cp:coreProperties>
</file>